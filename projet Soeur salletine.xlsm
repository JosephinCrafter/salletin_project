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vinala TM\Desktop\"/>
    </mc:Choice>
  </mc:AlternateContent>
  <bookViews>
    <workbookView xWindow="0" yWindow="465" windowWidth="35835" windowHeight="20580" tabRatio="684" activeTab="1"/>
  </bookViews>
  <sheets>
    <sheet name="PCG simplifié" sheetId="4" r:id="rId1"/>
    <sheet name="PLAN DES COMPTES" sheetId="7" r:id="rId2"/>
    <sheet name="ECRITURES DES JOURNAUX" sheetId="8" r:id="rId3"/>
    <sheet name="JOURNAL" sheetId="11" r:id="rId4"/>
    <sheet name="GRAND LIVRE" sheetId="12" r:id="rId5"/>
    <sheet name="TRESORERIE" sheetId="13" r:id="rId6"/>
    <sheet name="RECAPITULATION" sheetId="14" r:id="rId7"/>
    <sheet name="COMPTES ROME" sheetId="6" r:id="rId8"/>
  </sheets>
  <definedNames>
    <definedName name="_xlnm._FilterDatabase" localSheetId="2" hidden="1">'ECRITURES DES JOURNAUX'!#REF!</definedName>
    <definedName name="reference">'PLAN DES COMPTES'!$F$3:$F$60</definedName>
  </definedNames>
  <calcPr calcId="162913"/>
</workbook>
</file>

<file path=xl/calcChain.xml><?xml version="1.0" encoding="utf-8"?>
<calcChain xmlns="http://schemas.openxmlformats.org/spreadsheetml/2006/main">
  <c r="O17" i="8" l="1"/>
  <c r="F4" i="7" l="1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3" i="7"/>
  <c r="C366" i="4" l="1"/>
</calcChain>
</file>

<file path=xl/sharedStrings.xml><?xml version="1.0" encoding="utf-8"?>
<sst xmlns="http://schemas.openxmlformats.org/spreadsheetml/2006/main" count="611" uniqueCount="524">
  <si>
    <t>CAPITAL ET RÉSERVES</t>
  </si>
  <si>
    <t>Capital</t>
  </si>
  <si>
    <t>Fonds fiduciaires</t>
  </si>
  <si>
    <t>Primes liées au capital social</t>
  </si>
  <si>
    <t>Écarts de réévaluation</t>
  </si>
  <si>
    <t>Réserves</t>
  </si>
  <si>
    <t>Écart d'équivalence</t>
  </si>
  <si>
    <t>Compte de l'exploitant</t>
  </si>
  <si>
    <t>Actionnaires : Capital souscrit - non appelé</t>
  </si>
  <si>
    <t>REPORT A NOUVEAU (solde créditeur ou débiteur)</t>
  </si>
  <si>
    <t>Report à nouveau (solde créditeur)</t>
  </si>
  <si>
    <t>Report à nouveau (solde débiteur)</t>
  </si>
  <si>
    <t>RÉSULTAT DE L'EXERCICE (bénéfice ou perte)</t>
  </si>
  <si>
    <t>Résultat de l'exercice (bénéfice)</t>
  </si>
  <si>
    <t>Résultat de l'exercice (perte)</t>
  </si>
  <si>
    <t>SUBVENTIONS D'INVESTISSEMENT</t>
  </si>
  <si>
    <t>Subventions d'équipement</t>
  </si>
  <si>
    <t>Autres subventions d'investissement (même ventilation que celle du compte 131)</t>
  </si>
  <si>
    <t>Subventions d'investissement inscrites au compte de résultat</t>
  </si>
  <si>
    <t>PROVISIONS RÉGLEMENTÉES</t>
  </si>
  <si>
    <t>Provisions réglementées relatives aux immobilisations</t>
  </si>
  <si>
    <t>Provisions réglementées relatives aux stocks</t>
  </si>
  <si>
    <t>Provisions réglementées relatives aux autres éléments de l'actif</t>
  </si>
  <si>
    <t>Amortissements dérogatoires</t>
  </si>
  <si>
    <t>Provision spéciale de réévaluation</t>
  </si>
  <si>
    <t>Plus - values réinvesties</t>
  </si>
  <si>
    <t>Autres provisions réglementées</t>
  </si>
  <si>
    <t>PROVISIONS</t>
  </si>
  <si>
    <t>Provisions pour risques</t>
  </si>
  <si>
    <t>Provisions pour pensions et obligations similaires</t>
  </si>
  <si>
    <t>Provisions pour restructurations</t>
  </si>
  <si>
    <t>Provisions pour impôts</t>
  </si>
  <si>
    <t>Provisions pour renouvellement des immobilisations (entreprises concessionnaires)</t>
  </si>
  <si>
    <t>Provisions pour charges à répartir sur plusieurs exercices</t>
  </si>
  <si>
    <t>Autres provisions pour charges</t>
  </si>
  <si>
    <t>EMPRUNTS ET DETTES ASSIMILÉES</t>
  </si>
  <si>
    <t>Emprunts obligataires convertibles</t>
  </si>
  <si>
    <t>Obligations représentatives de passifs nets remis en fiducie</t>
  </si>
  <si>
    <t>Autres emprunts obligataires</t>
  </si>
  <si>
    <t>Emprunts auprès des établissements de crédit</t>
  </si>
  <si>
    <t>Dépôts et cautionnements reçus</t>
  </si>
  <si>
    <t>Participation des salariés aux résultats</t>
  </si>
  <si>
    <t>Emprunts et dettes assortis de conditions particulières</t>
  </si>
  <si>
    <t>Autres emprunts et dettes assimilées</t>
  </si>
  <si>
    <t>Intérêts courus</t>
  </si>
  <si>
    <t>Primes de remboursement des obligations</t>
  </si>
  <si>
    <t>DETTES RATTACHÉES A DES PARTICIPATIONS</t>
  </si>
  <si>
    <t>Dettes rattachées à des participations (groupe)</t>
  </si>
  <si>
    <t>Dettes rattachées à des participations (hors groupe)</t>
  </si>
  <si>
    <t>Dettes rattachées à des sociétés en participation</t>
  </si>
  <si>
    <t>COMPTES DE LIAISON DES ÉTABLISSEMENTS ET SOCIÉTÉS EN PARTICIPATION</t>
  </si>
  <si>
    <t>Comptes de liaison des établissements</t>
  </si>
  <si>
    <t>Biens et prestations de services échangés entre établissements (charges)</t>
  </si>
  <si>
    <t>Biens et prestations de services échangés entre établissements (produits)</t>
  </si>
  <si>
    <t>Comptes de liaison des sociétés en participation</t>
  </si>
  <si>
    <t>IMMOBILISATIONS INCORPORELLES</t>
  </si>
  <si>
    <t>Frais d'établissement</t>
  </si>
  <si>
    <t>Frais de recherche et de développement</t>
  </si>
  <si>
    <t>Concessions et droits similaires, brevets, licences, marques, procédés, logiciels, droits et valeurs similaires</t>
  </si>
  <si>
    <t>Droit au bail</t>
  </si>
  <si>
    <t>Fonds commercial</t>
  </si>
  <si>
    <t>Autres immobilisations incorporelles</t>
  </si>
  <si>
    <t>IMMOBILISATIONS CORPORELLES</t>
  </si>
  <si>
    <t>Terrains</t>
  </si>
  <si>
    <t>Agencements et aménagements de terrains (même ventilation que celle du compte 211)</t>
  </si>
  <si>
    <t>Constructions</t>
  </si>
  <si>
    <t>Constructions sur sol d'autrui (même ventilation que celle du compte 213)</t>
  </si>
  <si>
    <t>Installations techniques, matériels et outillage industriels</t>
  </si>
  <si>
    <t>Autres immobilisations corporelles</t>
  </si>
  <si>
    <t>IMMOBILISATIONS MISES EN CONCESSION</t>
  </si>
  <si>
    <t>IMMOBILISATIONS EN COURS</t>
  </si>
  <si>
    <t>Immobilisations corporelles en cours</t>
  </si>
  <si>
    <t>Immobilisations incorporelles en cours</t>
  </si>
  <si>
    <t>Avances et acomptes versés sur immobilisations incorporelles</t>
  </si>
  <si>
    <t>Avances et acomptes versés sur commandes d'immobilisations corporelles</t>
  </si>
  <si>
    <t>PARTS DANS DES ENTREPRISES LIÉES ET CRÉANCES SUR DES ENTREPRISES LIÉES</t>
  </si>
  <si>
    <t>PARTICIPATIONS ET CRÉANCES RATTACHÉES À DES PARTICIPATIONS</t>
  </si>
  <si>
    <t>Titres de participation</t>
  </si>
  <si>
    <t>Actions</t>
  </si>
  <si>
    <t>Autres formes de participation</t>
  </si>
  <si>
    <t>Créances rattachées à des participations</t>
  </si>
  <si>
    <t>Créances rattachées à des sociétés en participation</t>
  </si>
  <si>
    <t>Versements restant à effectuer sur titres de participation non libérés</t>
  </si>
  <si>
    <t>AUTRES IMMOBILISATIONS FINANCIÈRES</t>
  </si>
  <si>
    <t>Titres immobilisés autres que les titres immobilisés de l'activité de portefeuille (droit de propriété)</t>
  </si>
  <si>
    <t>Titres immobilisés (droit de créance)</t>
  </si>
  <si>
    <t>Obligations</t>
  </si>
  <si>
    <t>Titres immobilisés de l'activité de portefeuille</t>
  </si>
  <si>
    <t>Prêts</t>
  </si>
  <si>
    <t>Dépôts et cautionnements versés</t>
  </si>
  <si>
    <t>Autres créances immobilisées</t>
  </si>
  <si>
    <t>Actions propres ou parts propres</t>
  </si>
  <si>
    <t>Mali de fusion sur actifs financiers (1)</t>
  </si>
  <si>
    <t>Versements restant à effectuer sur titres immobilisés non libérés</t>
  </si>
  <si>
    <t>AMORTISSEMENTS DES IMMOBILISATIONS</t>
  </si>
  <si>
    <t>Amortissements des immobilisations incorporelles</t>
  </si>
  <si>
    <t>Amortissements des immobilisations corporelles</t>
  </si>
  <si>
    <t>Amortissements des immobilisations mises en concession</t>
  </si>
  <si>
    <t>DÉPRÉCIATIONS DES IMMOBILISATIONS</t>
  </si>
  <si>
    <t>Dépréciations des immobilisations incorporelles</t>
  </si>
  <si>
    <t>dépréciations des immobilisations corporelles (même ventilation que celle du compte 21)</t>
  </si>
  <si>
    <t>dépréciations des immobilisations mises en concession</t>
  </si>
  <si>
    <t>dépréciations des immobilisations en cours</t>
  </si>
  <si>
    <t>Dépréciations des participations et créances rattachées à des participations –</t>
  </si>
  <si>
    <t>Dépréciations des autres immobilisations financières</t>
  </si>
  <si>
    <t>MATIÈRES PREMIÈRES (ET FOURNITURES)</t>
  </si>
  <si>
    <t>Matières (ou groupe) A</t>
  </si>
  <si>
    <t>Matières (ou groupe) B</t>
  </si>
  <si>
    <t>Fournitures A, B, C, ...</t>
  </si>
  <si>
    <t>AUTRES APPROVISIONNEMENTS</t>
  </si>
  <si>
    <t>Matières consommables</t>
  </si>
  <si>
    <t>Fournitures consommables</t>
  </si>
  <si>
    <t>Emballages</t>
  </si>
  <si>
    <t>EN-COURS DE PRODUCTION DE BIENS</t>
  </si>
  <si>
    <t>Produits en cours</t>
  </si>
  <si>
    <t>Travaux en cours</t>
  </si>
  <si>
    <t>EN-COURS DE PRODUCTION DE SERVICES</t>
  </si>
  <si>
    <t>Études en cours</t>
  </si>
  <si>
    <t>Prestations de services en cours</t>
  </si>
  <si>
    <t>STOCKS DE PRODUITS</t>
  </si>
  <si>
    <t>Produits intermédiaires</t>
  </si>
  <si>
    <t>Produits finis</t>
  </si>
  <si>
    <t>Produits résiduels (ou matières de récupération)</t>
  </si>
  <si>
    <t>(compte à ouvrir, le cas échéant, sous l'intitulé « stocks provenant d'immobilisations »)</t>
  </si>
  <si>
    <t>STOCKS DE MARCHANDISES</t>
  </si>
  <si>
    <t>Marchandises (ou groupe) A</t>
  </si>
  <si>
    <t>Marchandises (ou groupe) B</t>
  </si>
  <si>
    <t>(lorsque l'entité tient un inventaire permanent en comptabilité générale, le compte 38 peut être utilisé pour comptabiliser les stocks en voie d'acheminement, mis en dépôt ou donnés en consignation)</t>
  </si>
  <si>
    <t>DÉPRÉCIATIONS DES STOCKS ET EN-COURS</t>
  </si>
  <si>
    <t>Dépréciations des matières premières (et fournitures)</t>
  </si>
  <si>
    <t>Dépréciations des autres approvisionnements</t>
  </si>
  <si>
    <t>Dépréciations des en-cours de production de biens</t>
  </si>
  <si>
    <t>Dépréciations des en-cours de production de services</t>
  </si>
  <si>
    <t>Dépréciations des stocks de produits</t>
  </si>
  <si>
    <t>Dépréciations des stocks de marchandises</t>
  </si>
  <si>
    <t>FOURNISSEURS ET COMPTES RATTACHÉS</t>
  </si>
  <si>
    <t>Fournisseurs et Comptes rattachés</t>
  </si>
  <si>
    <t>Fournisseurs</t>
  </si>
  <si>
    <t>Fournisseurs - Effets à payer</t>
  </si>
  <si>
    <t>Fournisseurs d'immobilisations</t>
  </si>
  <si>
    <t>Fournisseurs d'immobilisations - Effets à payer</t>
  </si>
  <si>
    <t>Fournisseurs - Factures non parvenues</t>
  </si>
  <si>
    <t>Fournisseurs débiteurs</t>
  </si>
  <si>
    <t>CLIENTS ET COMPTES RATTACHÉS</t>
  </si>
  <si>
    <t>Clients et Comptes rattachés</t>
  </si>
  <si>
    <t>Clients</t>
  </si>
  <si>
    <t>Clients - Effets à recevoir</t>
  </si>
  <si>
    <t>Clients douteux ou litigieux</t>
  </si>
  <si>
    <t>Clients - Produits non encore facturés</t>
  </si>
  <si>
    <t>Clients créditeurs</t>
  </si>
  <si>
    <t>PERSONNEL ET COMPTES RATTACHÉS</t>
  </si>
  <si>
    <t>Personnel - Rémunérations dues</t>
  </si>
  <si>
    <t>Comités d'entreprises, d'établissement, ...</t>
  </si>
  <si>
    <t>Personnel - Avances et acomptes</t>
  </si>
  <si>
    <t>Personnel – Dépôts</t>
  </si>
  <si>
    <t>Personnel - Oppositions</t>
  </si>
  <si>
    <t>Personnel - Charges à payer et produits à recevoir</t>
  </si>
  <si>
    <t>SÉCURITÉ SOCIALE ET AUTRES ORGANISMES SOCIAUX</t>
  </si>
  <si>
    <t>Sécurité sociale</t>
  </si>
  <si>
    <t>Autres organismes sociaux</t>
  </si>
  <si>
    <t>Organismes sociaux - Charges à payer et produits à recevoir</t>
  </si>
  <si>
    <t>ETAT ET AUTRES COLLECTIVITÉS PUBLIQUES</t>
  </si>
  <si>
    <t>Etat - Subventions à recevoir</t>
  </si>
  <si>
    <t>Contributions, impôts et taxes recouvrés pour le compte de l'Etat (2)</t>
  </si>
  <si>
    <t>Opérations particulières avec l'État, les collectivités publiques, les organismes internationaux</t>
  </si>
  <si>
    <t>État - Impôts sur les bénéfices</t>
  </si>
  <si>
    <t>État - Taxes sur le chiffre d'affaires</t>
  </si>
  <si>
    <t>Obligations cautionnées</t>
  </si>
  <si>
    <t>Autres impôts, taxes et versements assimilés</t>
  </si>
  <si>
    <t>État - Charges à payer et produits à recevoir</t>
  </si>
  <si>
    <t>Quotas d'émission à acquérir</t>
  </si>
  <si>
    <t>GROUPE ET ASSOCIÉS</t>
  </si>
  <si>
    <t>Groupe</t>
  </si>
  <si>
    <t>Associés - Comptes courants</t>
  </si>
  <si>
    <t>Associés - Opérations sur le capital</t>
  </si>
  <si>
    <t>Associés - Dividendes à payer</t>
  </si>
  <si>
    <t>Associés - Opérations faites en commun et en G.I.E.</t>
  </si>
  <si>
    <t>DÉBITEURS DIVERS ET CRÉDITEURS DIVERS</t>
  </si>
  <si>
    <t>Créances sur cessions d'immobilisations</t>
  </si>
  <si>
    <t>Dettes sur acquisitions de valeurs mobilières de placement</t>
  </si>
  <si>
    <t>Créances sur cessions de valeurs mobilières de placement</t>
  </si>
  <si>
    <t>Autres comptes débiteurs ou créditeurs</t>
  </si>
  <si>
    <t>Divers - Charges à payer et produits à recevoir</t>
  </si>
  <si>
    <t>COMPTES TRANSITOIRES OU D'ATTENTE</t>
  </si>
  <si>
    <t>Comptes d'attente</t>
  </si>
  <si>
    <t>Différences d'évaluation de jetons sur des passifs</t>
  </si>
  <si>
    <t>Différence de conversion - ACTIF</t>
  </si>
  <si>
    <t>Différences de conversion - PASSIF</t>
  </si>
  <si>
    <t>Autres comptes transitoires</t>
  </si>
  <si>
    <t>COMPTES DE RÉGULARISATION</t>
  </si>
  <si>
    <t>Charges à répartir sur plusieurs exercices</t>
  </si>
  <si>
    <t>Charges constatées d'avance</t>
  </si>
  <si>
    <t>Produits constatés d'avance</t>
  </si>
  <si>
    <t>Comptes de répartition périodique des charges et des produits</t>
  </si>
  <si>
    <t>DÉPRÉCIATIONS DES COMPTES DE TIERS</t>
  </si>
  <si>
    <t>Dépréciations des comptes de clients</t>
  </si>
  <si>
    <t>Dépréciations des comptes du groupe et des associés</t>
  </si>
  <si>
    <t>Dépréciations des comptes de débiteurs divers</t>
  </si>
  <si>
    <t>VALEURS MOBILIÈRES DE PLACEMENT</t>
  </si>
  <si>
    <t>Parts dans des entreprises liées</t>
  </si>
  <si>
    <t>Actions propres</t>
  </si>
  <si>
    <t>Autres titres conférant un droit de propriété</t>
  </si>
  <si>
    <t>Obligations et bons émis par la société et rachetés par elle</t>
  </si>
  <si>
    <t>Bons du Trésor et bons de caisse à court terme</t>
  </si>
  <si>
    <t>Autres valeurs mobilières de placement et autres créances assimilées</t>
  </si>
  <si>
    <t>Versements restant à effectuer sur valeurs mobilières de placement non libérées</t>
  </si>
  <si>
    <t>BANQUES, ÉTABLISSEMENTS FINANCIERS ET ASSIMILÉS</t>
  </si>
  <si>
    <t>Valeurs à l'encaissement</t>
  </si>
  <si>
    <t>Banques</t>
  </si>
  <si>
    <t>Chèques postaux</t>
  </si>
  <si>
    <t>« Caisses » du Trésor et des établissements publics</t>
  </si>
  <si>
    <t>Sociétés de bourse</t>
  </si>
  <si>
    <t>Autres organismes financiers</t>
  </si>
  <si>
    <t>Concours bancaires courants</t>
  </si>
  <si>
    <t>INSTRUMENTS FINANCIERS À TERME ET JETONS DÉTENUS</t>
  </si>
  <si>
    <t>Instruments financiers à terme</t>
  </si>
  <si>
    <t>Jetons détenus</t>
  </si>
  <si>
    <t>Jetons auto-détenus</t>
  </si>
  <si>
    <t>Jetons empruntés</t>
  </si>
  <si>
    <t>CAISSE</t>
  </si>
  <si>
    <t>Caisse siège social</t>
  </si>
  <si>
    <t>Caisse succursale (ou usine) A</t>
  </si>
  <si>
    <t>Caisse succursale (ou usine) B</t>
  </si>
  <si>
    <t>RÉGIES D'AVANCE ET ACCRÉDITIFS</t>
  </si>
  <si>
    <t>VIREMENTS INTERNES</t>
  </si>
  <si>
    <t>DÉPRÉCIATIONS DES COMPTES FINANCIERS</t>
  </si>
  <si>
    <t>Dépréciations des valeurs mobilières de placement</t>
  </si>
  <si>
    <t>ACHATS (sauf 603)</t>
  </si>
  <si>
    <t>Achats stockés - Matières premières (et fournitures)</t>
  </si>
  <si>
    <t>Achats stockés - Autres approvisionnements</t>
  </si>
  <si>
    <t>Achats d'études et prestations de services</t>
  </si>
  <si>
    <t>Achats de matériel, équipements et travaux</t>
  </si>
  <si>
    <t>Achats non stockés de matières et fournitures</t>
  </si>
  <si>
    <t>Achats de marchandises</t>
  </si>
  <si>
    <t>(Compte réservé, le cas échéant, à la récapitulation des frais accessoires incorporés aux achats)</t>
  </si>
  <si>
    <t>Rabais, remises et ristournes obtenus sur achats</t>
  </si>
  <si>
    <t>VARIATIONS DES STOCKS (approvisionnements et marchandises)</t>
  </si>
  <si>
    <t>Services extérieurs</t>
  </si>
  <si>
    <t>Sous-traitance générale</t>
  </si>
  <si>
    <t>Redevances de crédit-bail</t>
  </si>
  <si>
    <t>Locations</t>
  </si>
  <si>
    <t>Charges locatives et de copropriété</t>
  </si>
  <si>
    <t>Entretien et réparations</t>
  </si>
  <si>
    <t>Primes d'assurances</t>
  </si>
  <si>
    <t>Études et recherches</t>
  </si>
  <si>
    <t>Divers</t>
  </si>
  <si>
    <t>Rabais, remises et ristournes obtenus sur services extérieurs</t>
  </si>
  <si>
    <t>Autres services extérieurs</t>
  </si>
  <si>
    <t>Personnel extérieur à l'entreprise</t>
  </si>
  <si>
    <t>Rémunérations d'intermédiaires et honoraires</t>
  </si>
  <si>
    <t>Publicité, publications, relations publiques</t>
  </si>
  <si>
    <t>Transports de biens et transports collectifs du personnel</t>
  </si>
  <si>
    <t>Déplacements, missions et réceptions</t>
  </si>
  <si>
    <t>Frais postaux et de télécommunications</t>
  </si>
  <si>
    <t>Services bancaires et assimilés</t>
  </si>
  <si>
    <t>Rabais, remises et ristournes obtenus sur autres services extérieurs</t>
  </si>
  <si>
    <t>IMPÔTS, TAXES ET VERSEMENTS ASSIMILÉS</t>
  </si>
  <si>
    <t>Impôts, taxes et versements assimilés sur rémunérations (administrations des impôts)</t>
  </si>
  <si>
    <t>Impôts, taxes et versements assimilés sur rémunérations (autres organismes)</t>
  </si>
  <si>
    <t>Autres impôts, taxes et versements assimilés (administrations des impôts)</t>
  </si>
  <si>
    <t>Autres impôts, taxes et versements assimilés (autres organismes)</t>
  </si>
  <si>
    <t>CHARGES DE PERSONNEL</t>
  </si>
  <si>
    <t>Rémunérations du personnel</t>
  </si>
  <si>
    <t>Rémunération du travail de l'exploitant</t>
  </si>
  <si>
    <t>Charges de sécurité sociale et de prévoyance</t>
  </si>
  <si>
    <t>Cotisations sociales personnelles de l'exploitant</t>
  </si>
  <si>
    <t>Autres charges sociales</t>
  </si>
  <si>
    <t>Autres charges de personnel</t>
  </si>
  <si>
    <t>AUTRES CHARGES DE GESTION COURANTE</t>
  </si>
  <si>
    <t>Redevances pour concessions, brevets, licences, marques, procédés, logiciels, droits et valeurs similaires</t>
  </si>
  <si>
    <t>Jetons de présence</t>
  </si>
  <si>
    <t>Pertes sur créances irrécouvrables</t>
  </si>
  <si>
    <t>Quotes - parts de résultat sur opérations faites en commun</t>
  </si>
  <si>
    <t>Pertes de change sur créances commerciales</t>
  </si>
  <si>
    <t>Charges diverses de gestion courante</t>
  </si>
  <si>
    <t>CHARGES FINANCIÈRES</t>
  </si>
  <si>
    <t>Charges d'intérêts</t>
  </si>
  <si>
    <t>Pertes sur créances liées à des participations</t>
  </si>
  <si>
    <t>Escomptes accordés</t>
  </si>
  <si>
    <t>Pertes de change financières</t>
  </si>
  <si>
    <t>Charges nettes sur cessions de valeurs mobilières de placement</t>
  </si>
  <si>
    <t>Autres charges financières</t>
  </si>
  <si>
    <t>CHARGES EXCEPTIONNELLES</t>
  </si>
  <si>
    <t>Charges exceptionnelles sur opérations de gestion</t>
  </si>
  <si>
    <t>(Compte à la disposition des entités pour enregistrer, en cours d'exercice, les charges sur exercices antérieurs)</t>
  </si>
  <si>
    <t>Opérations de constitution ou liquidation des fiducies</t>
  </si>
  <si>
    <t>Valeurs comptables des éléments d'actif cédés</t>
  </si>
  <si>
    <t>Immobilisations incorporelles</t>
  </si>
  <si>
    <t>Immobilisations corporelles</t>
  </si>
  <si>
    <t>Autres charges exceptionnelles</t>
  </si>
  <si>
    <t>DOTATIONS AUX AMORTISSEMENTS, DÉPRÉCIATIONS ET PROVISIONS</t>
  </si>
  <si>
    <t>Dotations aux amortissements, dépréciations et provisions – Charges d'exploitation</t>
  </si>
  <si>
    <t>Dotations aux amortissements, dépréciations et provisions - Charges financières</t>
  </si>
  <si>
    <t>Dotations aux amortissements dépréciations et provisions - Charges exceptionnelles</t>
  </si>
  <si>
    <t>PARTICIPATION DES SALARIÉS - IMPÔTS SUR LES BÉNÉFICES ET ASSIMILÉS</t>
  </si>
  <si>
    <t>Impôts sur les bénéfices</t>
  </si>
  <si>
    <t>Suppléments d'impôt sur les sociétés liés aux distributions</t>
  </si>
  <si>
    <t>Intégration fiscale</t>
  </si>
  <si>
    <t>Produits - Report en arrière des déficits</t>
  </si>
  <si>
    <t>VENTES DE PRODUITS FABRIQUÉS, PRESTATIONS DE SERVICES, MARCHANDISES</t>
  </si>
  <si>
    <t>Ventes de produits finis</t>
  </si>
  <si>
    <t>Ventes de produits intermédiaires</t>
  </si>
  <si>
    <t>Ventes de produits résiduels</t>
  </si>
  <si>
    <t>Travaux</t>
  </si>
  <si>
    <t>Études</t>
  </si>
  <si>
    <t>Prestations de services</t>
  </si>
  <si>
    <t>Ventes de marchandises</t>
  </si>
  <si>
    <t>Produits des activités annexes</t>
  </si>
  <si>
    <t>Rabais, remises et ristournes accordés par l'entreprise</t>
  </si>
  <si>
    <t>PRODUCTION STOCKÉE (OU DÉSTOCKAGE)</t>
  </si>
  <si>
    <t>Variation des stocks (en-cours de production, produits)</t>
  </si>
  <si>
    <t>PRODUCTION IMMOBILISÉE</t>
  </si>
  <si>
    <t>SUBVENTIONS D'EXPLOITATION</t>
  </si>
  <si>
    <t>AUTRES PRODUITS DE GESTION COURANTE</t>
  </si>
  <si>
    <t>Revenus des immeubles non affectés à des activités professionnelles</t>
  </si>
  <si>
    <t>Jetons de présence et rémunérations d'administrateurs, gérants</t>
  </si>
  <si>
    <t>Ristournes perçues des coopératives (provenant des excédents)</t>
  </si>
  <si>
    <t>Gains de change sur créances commerciales</t>
  </si>
  <si>
    <t>Produits divers de gestion courante</t>
  </si>
  <si>
    <t>PRODUITS FINANCIERS</t>
  </si>
  <si>
    <t>Produits de participations</t>
  </si>
  <si>
    <t>Produits des autres immobilisations financières</t>
  </si>
  <si>
    <t>Revenus des autres créances</t>
  </si>
  <si>
    <t>Revenus des valeurs mobilières de placement</t>
  </si>
  <si>
    <t>Escomptes obtenus</t>
  </si>
  <si>
    <t>Gains de change</t>
  </si>
  <si>
    <t>Produits nets sur cessions de valeurs mobilières de placement</t>
  </si>
  <si>
    <t>Autres produits financiers</t>
  </si>
  <si>
    <t>PRODUITS EXCEPTIONNELS</t>
  </si>
  <si>
    <t>Produits exceptionnels sur opérations de gestion</t>
  </si>
  <si>
    <t>(Compte à la disposition des entités pour enregistrer, en cours d'exercice, les produits sur exercices antérieurs)</t>
  </si>
  <si>
    <t>Produits des cessions d'éléments d'actif</t>
  </si>
  <si>
    <t>Quote - part des subventions d'investissement virée au résultat de l'exercice</t>
  </si>
  <si>
    <t>Autres produits exceptionnels</t>
  </si>
  <si>
    <t>REPRISES SUR AMORTISSEMENTS, DÉPRÉCIATIONS ET PROVISIONS</t>
  </si>
  <si>
    <t>Reprises sur amortissements, dépréciations et provisions (à inscrire dans les produits d'exploitation)</t>
  </si>
  <si>
    <t>Reprises sur dépréciations et provisions (à inscrire dans les produits financiers)</t>
  </si>
  <si>
    <t>Reprises sur dépréciations et provisions (à inscrire dans les produits exceptionnels)</t>
  </si>
  <si>
    <t>TRANSFERTS DE CHARGES</t>
  </si>
  <si>
    <t>Transferts de charges d'exploitation</t>
  </si>
  <si>
    <t>Transferts de charges financières</t>
  </si>
  <si>
    <t>Transferts de charges exceptionnelles</t>
  </si>
  <si>
    <t>DEBIT</t>
  </si>
  <si>
    <t>CREDIT</t>
  </si>
  <si>
    <t>Numero de compte</t>
  </si>
  <si>
    <t>rubriques</t>
  </si>
  <si>
    <t>DATE</t>
  </si>
  <si>
    <t>LIBELEE</t>
  </si>
  <si>
    <t>COMMENTAIRE</t>
  </si>
  <si>
    <t>Fournitures de bureau</t>
  </si>
  <si>
    <t>RUBRIQUES</t>
  </si>
  <si>
    <t>N°</t>
  </si>
  <si>
    <t>EXPLICATION</t>
  </si>
  <si>
    <t>Travaux derénovation:Plomberie,electricité,peinture,sol, (papier peint, carrelage,….,frigo)(à utiliser pour plus dela valeur du SMIG)</t>
  </si>
  <si>
    <t xml:space="preserve"> Matériel de transport</t>
  </si>
  <si>
    <t>Achat voiture, tracteur, camionnette, moto, bicyclette…(à utiliser pour plus de la valeur SMIG)</t>
  </si>
  <si>
    <t>Matériel de bureau/ informatiques</t>
  </si>
  <si>
    <t>Ordinateur, photocopie, table de bureau, (à utiliser pour plus dela valeur du SMIG)</t>
  </si>
  <si>
    <t>Travaux/ aménagement</t>
  </si>
  <si>
    <t>Amortissement des biens</t>
  </si>
  <si>
    <t>Déposer une somme en vue de remplacer un bien après usage</t>
  </si>
  <si>
    <t>Personnel de service</t>
  </si>
  <si>
    <t>Chauffeur, gardien, Jardinier, professeurs</t>
  </si>
  <si>
    <t>compte en attente / dépôt dans le temps</t>
  </si>
  <si>
    <t>En vue pour acheter quelque chose</t>
  </si>
  <si>
    <t>Caisse</t>
  </si>
  <si>
    <t>Argent en espèce</t>
  </si>
  <si>
    <t>Budget communautaire</t>
  </si>
  <si>
    <t>Pour la province seulement (Subsides pour les communautés)</t>
  </si>
  <si>
    <t>Elevage</t>
  </si>
  <si>
    <t>Lapin, poule, bœufs, chat, chien,…( Abri,Alimentation,soins et vaccination)</t>
  </si>
  <si>
    <t>Jardin</t>
  </si>
  <si>
    <t>Semences, fumiers, Insecticides, outils,(bêche, pelle, faucilles, pelle,sécateurs,)</t>
  </si>
  <si>
    <t xml:space="preserve">Eau </t>
  </si>
  <si>
    <t>Facture de l'eau</t>
  </si>
  <si>
    <t>Edf/ JIRAMA/ PANNEAU SOLAIRE</t>
  </si>
  <si>
    <t>Facture d'electicité</t>
  </si>
  <si>
    <t>Facture de gaz- cahrbon, bougie, allumettes, kitay menaka, briquets</t>
  </si>
  <si>
    <t>Gaz/ combustible</t>
  </si>
  <si>
    <t>Pétit materiel. Tout ce qui n'est pas dans les autres rubriques</t>
  </si>
  <si>
    <t>Marmites, bouilloires, four à micro-ondes, aspirateurs, poêles,casseroles,…(Pas plus de la moité de SMIG)</t>
  </si>
  <si>
    <t>Culte/ messe/ droit d'Etole</t>
  </si>
  <si>
    <r>
      <t>Sacristie:</t>
    </r>
    <r>
      <rPr>
        <sz val="11"/>
        <color rgb="FF000000"/>
        <rFont val="Jost"/>
      </rPr>
      <t xml:space="preserve"> Linges litturgique(nappes,corporal, manutterge, purificatoires, pâle), calice, patène, burettes, croix, vin de messe, hostie, missel, bréviaire, livres des chants, abonnement "prions en eglise" ou "magnificat", aubes, étoles, chasubles</t>
    </r>
  </si>
  <si>
    <t>Célebrations</t>
  </si>
  <si>
    <t>Vœux, Jubiles, Etapes</t>
  </si>
  <si>
    <t>Stylo, enveloppe, encre, cahier</t>
  </si>
  <si>
    <t>Entretien maison</t>
  </si>
  <si>
    <t>Ampoule, balai, brosse, serpillière, installation electrique,…</t>
  </si>
  <si>
    <t>Droguerie</t>
  </si>
  <si>
    <t>Serviette de toilette, serviette hygiéniques, papier hygieniques, dentifrices, brosse à dent, mouchoir, crème de toilette, déodorant, shempoing, gel douce, savons, produits de nettoyage, sac à poubelle,éponge</t>
  </si>
  <si>
    <t>Alimentation</t>
  </si>
  <si>
    <t>Nourriture et besoin</t>
  </si>
  <si>
    <t>Vêtements, chaussures, matériaux pour couture, (fil, ciseaux, dé à coudre, cutters, piques,aiguilles,épingles,rideaux, nappes)</t>
  </si>
  <si>
    <t>Habillements/ merceie/ lingerie</t>
  </si>
  <si>
    <t>Santé/ médecin/ pharmacie</t>
  </si>
  <si>
    <t>Médicaments, consultation, opération, hospitalisation, scanneer, radiogrephie, IRM</t>
  </si>
  <si>
    <t>Bibliothèque/ Librairie</t>
  </si>
  <si>
    <t>Livres, revues…</t>
  </si>
  <si>
    <t>Achats des matériaux de maisons</t>
  </si>
  <si>
    <t>Mobilier, frigo, congélateur, cuisine, couverts,lave-linge, télévision, chaise, table, canapé,…(pas plus du SMIG)</t>
  </si>
  <si>
    <t>Entretient/ reparation de voiture</t>
  </si>
  <si>
    <t>Divers pièce, garage, pneu, huile, carburants, visite techniques.</t>
  </si>
  <si>
    <t>Assurance incendie</t>
  </si>
  <si>
    <t>si la maison brûle, catastrophe naturelles</t>
  </si>
  <si>
    <t>Culture/ formation</t>
  </si>
  <si>
    <t>Etudes, PPP? Auto-école, formations, cours, novices, postulantes, cotisation formatrices, cotisation CSMFM, Diocèse</t>
  </si>
  <si>
    <t>Conférence/ Retraite</t>
  </si>
  <si>
    <t>Pélérinage, retraite, recollection</t>
  </si>
  <si>
    <t>Frais de déplacements</t>
  </si>
  <si>
    <t>Bus, car, pousse pousse, carburants, ticket parking, taxi, taxi-brousse</t>
  </si>
  <si>
    <t>Frais postaux</t>
  </si>
  <si>
    <t>Timbres,recommdés, chronopost, DHL</t>
  </si>
  <si>
    <t>Téléphone/ fax/ internet</t>
  </si>
  <si>
    <t>télephone, puce de téléphone, accessoires téléphone</t>
  </si>
  <si>
    <t>Frais de tenu de compte</t>
  </si>
  <si>
    <t>Frais de tenu de compte de banque, Mvola, AirtelMoney, OrangeMoney</t>
  </si>
  <si>
    <t>Impôts foncier</t>
  </si>
  <si>
    <t>Impôts sur la terre et la maison si on est propriétaire de la maison</t>
  </si>
  <si>
    <t>Timbres fiscaux/ Droit</t>
  </si>
  <si>
    <t>Pour la carte de séjour, passeport, carte d'identié</t>
  </si>
  <si>
    <t>Taxe Habitation(audiovisue)</t>
  </si>
  <si>
    <t>Taxes sue la maison et audiovisuels (TV internet-free)</t>
  </si>
  <si>
    <t>papiers administratifs</t>
  </si>
  <si>
    <t>Photos de cartes de séjour, actes de naissances, visas</t>
  </si>
  <si>
    <t>Prime de vacances</t>
  </si>
  <si>
    <t>vacances sur place ou dans les autres pays</t>
  </si>
  <si>
    <t>Fiombonana</t>
  </si>
  <si>
    <t>Cotisation de santé, compte fiombonana, BFV-Santé</t>
  </si>
  <si>
    <t>Solidarité vieillesse/ CNaPS</t>
  </si>
  <si>
    <t>Cotisation pour la retraite, vieillesse</t>
  </si>
  <si>
    <t>Solidarité Mœurs et coutumes</t>
  </si>
  <si>
    <t>Décès, Retournements des morts(exhumation), Sacrements, Jubilé, IRAY VATSY IRAY AINA</t>
  </si>
  <si>
    <t>Solidarit2 Généralat</t>
  </si>
  <si>
    <t>Cotisation pour le géneralat</t>
  </si>
  <si>
    <t>Solidarité pour la pepinière de la vocation dans la congrégation</t>
  </si>
  <si>
    <t>Cotisation pour les aspirantes et postulantes</t>
  </si>
  <si>
    <t>Supérieure Provincial et son conseil</t>
  </si>
  <si>
    <t>Fonctionement</t>
  </si>
  <si>
    <t>Pénalité/ amandes/ majoration</t>
  </si>
  <si>
    <t>Dons sortis</t>
  </si>
  <si>
    <t>Cadeaux</t>
  </si>
  <si>
    <t>Salaire/ indeminité</t>
  </si>
  <si>
    <t>Salaires, indemnités…</t>
  </si>
  <si>
    <t>Subsides des communautés</t>
  </si>
  <si>
    <t>Reçues de la province pour les communautés et reçcues du Géneralat pour la province</t>
  </si>
  <si>
    <t>Ventes des animaux</t>
  </si>
  <si>
    <t>Vente de produits de l'exploitation</t>
  </si>
  <si>
    <t>Voanjo, tsaramaso, légumes</t>
  </si>
  <si>
    <t>remboursements kilométriques</t>
  </si>
  <si>
    <t>De la part de la paroisse, Diocèse, organismes</t>
  </si>
  <si>
    <t>Quêtes/ célébration</t>
  </si>
  <si>
    <t>Solidarité généralat</t>
  </si>
  <si>
    <t>Solidarité Conseil Provincial</t>
  </si>
  <si>
    <t>Solidarité formation</t>
  </si>
  <si>
    <t>Dons</t>
  </si>
  <si>
    <t>Reçus des amis, familles, paroissiens,…</t>
  </si>
  <si>
    <t>Activités</t>
  </si>
  <si>
    <t>Art malagasy, coutures, ou autres œuvres, produits de fermes et exploitation</t>
  </si>
  <si>
    <t>Banque</t>
  </si>
  <si>
    <t>Intérêt bancaire, Gains des changes</t>
  </si>
  <si>
    <t>RECETTE /INCOME FUNDS /RECEITAS</t>
  </si>
  <si>
    <t>Subside de généralat /Subsidy from Generalate / Subsidio</t>
  </si>
  <si>
    <t>Primes, compensations /Allowances</t>
  </si>
  <si>
    <t>Salaire, indeminités, Pension /Salaries Indemnities /Pension Salario</t>
  </si>
  <si>
    <t>TITRES DES COMPTES /ACCOUNT TITLES /TITULO AS CONTAS</t>
  </si>
  <si>
    <t>Revenus des projets divers Artisanat /Income from Project /Ingresos de proyectos varios Artesanías</t>
  </si>
  <si>
    <t>Dons /Gift /Donaciones</t>
  </si>
  <si>
    <t>Remboursements divers /Reimbursements /Reembolos Diversos</t>
  </si>
  <si>
    <t>Autres revenus /other source of income / Otras receitas</t>
  </si>
  <si>
    <t>Interêt de Banques /Bank Interest /Dividends luros bancarios</t>
  </si>
  <si>
    <t>Subsides Formation / Subsidy for formation</t>
  </si>
  <si>
    <t>Solde Année précedente / Balance of previous year /Saldo Año anterior</t>
  </si>
  <si>
    <t>Recette extraordinaire /receta extraordinaria</t>
  </si>
  <si>
    <t>TAUTAUX RECETTE /TOTAL FUNDS /TOTAL RECEITAS</t>
  </si>
  <si>
    <t>MONTANT /AMOUNT /CANTIDAD</t>
  </si>
  <si>
    <t>DEPENSE /EXPENSES /DESPESAS</t>
  </si>
  <si>
    <t>Alimentation, les courses / Food and Groceries /Alimentacao</t>
  </si>
  <si>
    <t>Gaz, électricité, eau / Fioul, Gas, Electricity,Water, Heat /Gas, Electisidade, Agua</t>
  </si>
  <si>
    <t>Frais de deplacements,Transportation /Travel /Viagens</t>
  </si>
  <si>
    <t>Vacances /Vacation / ferias</t>
  </si>
  <si>
    <t>Habillements, Chaussures /clothing, Footware / Vestuarios</t>
  </si>
  <si>
    <t>Droguerie /toilet Articles / Higiene Diaira</t>
  </si>
  <si>
    <t>Santé médical /Dental care / Saude</t>
  </si>
  <si>
    <t>Assurance Santé ,Cotisation+retraite CAVIMAC /Health Insurance /Saude</t>
  </si>
  <si>
    <t>Plan de funerailles /Funeral Plan /plano Funerario</t>
  </si>
  <si>
    <t>Fond de retraite /Retirement Fund /Fondo de Aposentadoria</t>
  </si>
  <si>
    <t>culture, formation, retraite /Educ.form.Retread/ Educ.form.Retiro</t>
  </si>
  <si>
    <t>Loyer /Rentals /Aluquéis</t>
  </si>
  <si>
    <t>Loisirs /Leisure /Recreacao</t>
  </si>
  <si>
    <t>Bibliothèque, Librairie /Library /Livraria</t>
  </si>
  <si>
    <t>Telepone, Poste, Internet, Comunication /Stamps /Com, Posto</t>
  </si>
  <si>
    <t>Fournitures de bureau /office And School Supplies /Materias Secretaria</t>
  </si>
  <si>
    <t>Culte / Chapel Needs /Culto</t>
  </si>
  <si>
    <t>Entretien de maison, Produits d'entretien /house needs, Laundry /Materias casa</t>
  </si>
  <si>
    <t>petit materiel, petit équipement /furnitures, fixtures, equiptment</t>
  </si>
  <si>
    <t>Impôts, Taxes, Contravention /Taxes, Licenses /Aluguer, Taxas</t>
  </si>
  <si>
    <t>Papier Administratifs, Frais VISA /Administrative Documents /Papeis Admin</t>
  </si>
  <si>
    <t>Réparation de Voiture, Assurance /Car expenses, Insurance /Sugeranças</t>
  </si>
  <si>
    <t>Services à la personne, Artisanas, Réparateurs /Hired Services /Servicio contratado</t>
  </si>
  <si>
    <t>Dons sortie /Charity, Gifts, Contributions ,Donations /Caridale</t>
  </si>
  <si>
    <t>Frais bancainres /Bank Services /Despesas Bancarias</t>
  </si>
  <si>
    <t>Subside au Généralat /Subsidy to the Generalate /Subsidio Casa General</t>
  </si>
  <si>
    <t>Divers /Miscellaneous Expenses /Pequeno Despesas</t>
  </si>
  <si>
    <t>Solidarité Pépinières de la vocation</t>
  </si>
  <si>
    <t>Célébrations</t>
  </si>
  <si>
    <t xml:space="preserve">Travaux aménagement </t>
  </si>
  <si>
    <t>Achat mobiliers</t>
  </si>
  <si>
    <t>Jardin /Garden /Jardín</t>
  </si>
  <si>
    <t>Elevage /Farm /Cría</t>
  </si>
  <si>
    <t>Mœurs et coutumes /Usos y costumbres</t>
  </si>
  <si>
    <t>Supérieure Provinciale et son conseil /Superiora Provinvial y su Consejo</t>
  </si>
  <si>
    <t>Total Recettes réalisé anné N</t>
  </si>
  <si>
    <t>Total de depense réalisé année N</t>
  </si>
  <si>
    <t>Soldes année N+1</t>
  </si>
  <si>
    <t>Argent en Banque</t>
  </si>
  <si>
    <t>Interêt et gains (bancaire)</t>
  </si>
  <si>
    <t>N° DE COMPTE</t>
  </si>
  <si>
    <t>REF-FACT-CHEQUE</t>
  </si>
  <si>
    <t>types</t>
  </si>
  <si>
    <t>reference</t>
  </si>
  <si>
    <t>charge</t>
  </si>
  <si>
    <t>recette</t>
  </si>
  <si>
    <t>REF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</si>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</sst>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d\-mmm\-yy;@"/>
  </numFmts>
  <fonts count="15" x14ac:knownFonts="1">
    <font>
      <sz val="10"/>
      <color rgb="FF000000"/>
      <name val="Arial"/>
    </font>
    <font>
      <u/>
      <sz val="10"/>
      <color rgb="FF0000FF"/>
      <name val="Arial"/>
      <family val="2"/>
    </font>
    <font>
      <b/>
      <sz val="18"/>
      <color rgb="FF37517E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2"/>
      <color rgb="FFFFFFFF"/>
      <name val="Arial"/>
      <family val="2"/>
    </font>
    <font>
      <sz val="11"/>
      <color rgb="FF000000"/>
      <name val="Jost"/>
    </font>
    <font>
      <b/>
      <sz val="11"/>
      <color theme="1"/>
      <name val="Jost"/>
    </font>
    <font>
      <sz val="11"/>
      <color theme="1"/>
      <name val="Jost"/>
    </font>
    <font>
      <b/>
      <sz val="11"/>
      <color rgb="FF000000"/>
      <name val="Jost"/>
    </font>
    <font>
      <b/>
      <sz val="12"/>
      <color rgb="FF000000"/>
      <name val="Jost"/>
    </font>
    <font>
      <b/>
      <sz val="12"/>
      <color theme="1"/>
      <name val="Jost"/>
    </font>
  </fonts>
  <fills count="11">
    <fill>
      <patternFill patternType="none"/>
    </fill>
    <fill>
      <patternFill patternType="gray125"/>
    </fill>
    <fill>
      <patternFill patternType="solid">
        <fgColor rgb="FFF2F5F7"/>
        <bgColor rgb="FFF2F5F7"/>
      </patternFill>
    </fill>
    <fill>
      <patternFill patternType="solid">
        <fgColor rgb="FF37517E"/>
        <bgColor rgb="FF37517E"/>
      </patternFill>
    </fill>
    <fill>
      <patternFill patternType="solid">
        <fgColor theme="8" tint="0.39997558519241921"/>
        <bgColor rgb="FFB7B7B7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 applyFont="1" applyAlignment="1"/>
    <xf numFmtId="0" fontId="1" fillId="2" borderId="0" xfId="0" applyFont="1" applyFill="1" applyAlignment="1">
      <alignment horizontal="center"/>
    </xf>
    <xf numFmtId="0" fontId="4" fillId="3" borderId="0" xfId="0" applyFont="1" applyFill="1" applyAlignment="1"/>
    <xf numFmtId="0" fontId="5" fillId="3" borderId="0" xfId="0" applyFont="1" applyFill="1" applyAlignment="1"/>
    <xf numFmtId="0" fontId="5" fillId="3" borderId="0" xfId="0" applyFont="1" applyFill="1" applyAlignment="1">
      <alignment horizontal="left"/>
    </xf>
    <xf numFmtId="0" fontId="3" fillId="2" borderId="0" xfId="0" applyFont="1" applyFill="1" applyAlignment="1"/>
    <xf numFmtId="0" fontId="6" fillId="2" borderId="0" xfId="0" applyFont="1" applyFill="1" applyAlignment="1">
      <alignment horizontal="left"/>
    </xf>
    <xf numFmtId="0" fontId="0" fillId="0" borderId="0" xfId="0" applyFont="1" applyAlignment="1"/>
    <xf numFmtId="0" fontId="2" fillId="2" borderId="0" xfId="0" applyFont="1" applyFill="1" applyAlignment="1">
      <alignment vertical="center"/>
    </xf>
    <xf numFmtId="0" fontId="4" fillId="3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8" fontId="0" fillId="0" borderId="0" xfId="0" applyNumberFormat="1" applyFont="1" applyAlignment="1"/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right" vertical="top" wrapText="1"/>
    </xf>
    <xf numFmtId="0" fontId="11" fillId="0" borderId="0" xfId="0" applyFont="1" applyFill="1" applyBorder="1" applyAlignment="1">
      <alignment horizontal="right" vertical="top"/>
    </xf>
    <xf numFmtId="0" fontId="11" fillId="0" borderId="0" xfId="0" applyFont="1" applyFill="1" applyBorder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8" fillId="4" borderId="0" xfId="0" applyFont="1" applyFill="1" applyAlignment="1">
      <alignment vertical="center"/>
    </xf>
    <xf numFmtId="0" fontId="9" fillId="0" borderId="0" xfId="0" applyFont="1" applyAlignment="1">
      <alignment horizontal="left" vertical="top"/>
    </xf>
    <xf numFmtId="0" fontId="11" fillId="0" borderId="0" xfId="0" applyFont="1" applyFill="1" applyAlignment="1">
      <alignment horizontal="left" vertical="top"/>
    </xf>
    <xf numFmtId="0" fontId="14" fillId="5" borderId="1" xfId="0" applyFont="1" applyFill="1" applyBorder="1" applyAlignment="1">
      <alignment horizontal="center" vertical="top"/>
    </xf>
    <xf numFmtId="0" fontId="9" fillId="9" borderId="0" xfId="0" applyFont="1" applyFill="1" applyAlignment="1">
      <alignment horizontal="left" vertical="top"/>
    </xf>
    <xf numFmtId="0" fontId="11" fillId="9" borderId="0" xfId="0" applyFont="1" applyFill="1" applyAlignment="1">
      <alignment horizontal="left" vertical="top"/>
    </xf>
    <xf numFmtId="0" fontId="9" fillId="8" borderId="0" xfId="0" applyFont="1" applyFill="1" applyAlignment="1">
      <alignment horizontal="left" vertical="top"/>
    </xf>
    <xf numFmtId="0" fontId="9" fillId="10" borderId="0" xfId="0" applyFont="1" applyFill="1" applyAlignment="1">
      <alignment horizontal="left" vertical="top"/>
    </xf>
    <xf numFmtId="0" fontId="9" fillId="7" borderId="0" xfId="0" applyFont="1" applyFill="1" applyAlignment="1">
      <alignment vertical="top"/>
    </xf>
    <xf numFmtId="0" fontId="13" fillId="9" borderId="0" xfId="0" applyFont="1" applyFill="1" applyAlignment="1">
      <alignment horizontal="left" vertical="top"/>
    </xf>
    <xf numFmtId="0" fontId="9" fillId="8" borderId="0" xfId="0" applyFont="1" applyFill="1" applyAlignment="1">
      <alignment vertical="top"/>
    </xf>
    <xf numFmtId="0" fontId="13" fillId="10" borderId="2" xfId="0" applyFont="1" applyFill="1" applyBorder="1" applyAlignment="1">
      <alignment horizontal="left" vertical="top"/>
    </xf>
    <xf numFmtId="0" fontId="13" fillId="9" borderId="2" xfId="0" applyFont="1" applyFill="1" applyBorder="1" applyAlignment="1">
      <alignment horizontal="left" vertical="top"/>
    </xf>
    <xf numFmtId="0" fontId="13" fillId="0" borderId="0" xfId="0" applyFont="1" applyFill="1" applyBorder="1" applyAlignment="1">
      <alignment horizontal="left" vertical="top"/>
    </xf>
    <xf numFmtId="0" fontId="9" fillId="0" borderId="0" xfId="0" applyFont="1" applyAlignment="1"/>
    <xf numFmtId="0" fontId="12" fillId="9" borderId="0" xfId="0" applyFont="1" applyFill="1" applyAlignment="1">
      <alignment horizontal="center" vertical="top"/>
    </xf>
    <xf numFmtId="0" fontId="9" fillId="10" borderId="0" xfId="0" applyFont="1" applyFill="1" applyAlignment="1"/>
    <xf numFmtId="0" fontId="9" fillId="6" borderId="0" xfId="0" applyFont="1" applyFill="1" applyBorder="1" applyAlignment="1"/>
    <xf numFmtId="164" fontId="9" fillId="6" borderId="0" xfId="0" applyNumberFormat="1" applyFont="1" applyFill="1" applyBorder="1" applyAlignment="1"/>
    <xf numFmtId="0" fontId="10" fillId="9" borderId="0" xfId="0" applyFont="1" applyFill="1" applyAlignment="1">
      <alignment horizontal="center" vertical="top"/>
    </xf>
    <xf numFmtId="0" fontId="9" fillId="6" borderId="0" xfId="0" applyFont="1" applyFill="1" applyAlignment="1"/>
  </cellXfs>
  <cellStyles count="1">
    <cellStyle name="Normal" xfId="0" builtinId="0"/>
  </cellStyles>
  <dxfs count="40">
    <dxf>
      <border>
        <bottom style="thin">
          <color theme="7" tint="-0.24994659260841701"/>
        </bottom>
        <vertical/>
        <horizontal/>
      </border>
    </dxf>
    <dxf>
      <border>
        <bottom style="thin">
          <color theme="7" tint="-0.24994659260841701"/>
        </bottom>
        <vertical/>
        <horizontal/>
      </border>
    </dxf>
    <dxf>
      <border>
        <bottom style="thin">
          <color theme="7" tint="-0.24994659260841701"/>
        </bottom>
        <vertical/>
        <horizontal/>
      </border>
    </dxf>
    <dxf>
      <border>
        <bottom style="thin">
          <color theme="7" tint="-0.24994659260841701"/>
        </bottom>
        <vertical/>
        <horizontal/>
      </border>
    </dxf>
    <dxf>
      <border>
        <bottom style="thin">
          <color theme="7" tint="-0.24994659260841701"/>
        </bottom>
        <vertical/>
        <horizontal/>
      </border>
    </dxf>
    <dxf>
      <border>
        <bottom style="thin">
          <color theme="7" tint="-0.24994659260841701"/>
        </bottom>
        <vertical/>
        <horizontal/>
      </border>
    </dxf>
    <dxf>
      <border>
        <bottom style="thin">
          <color theme="7" tint="-0.24994659260841701"/>
        </bottom>
        <vertical/>
        <horizontal/>
      </border>
    </dxf>
    <dxf>
      <border>
        <bottom style="thin">
          <color theme="7" tint="-0.24994659260841701"/>
        </bottom>
        <vertical/>
        <horizontal/>
      </border>
    </dxf>
    <dxf>
      <border>
        <bottom style="thin">
          <color theme="7" tint="-0.24994659260841701"/>
        </bottom>
        <vertical/>
        <horizontal/>
      </border>
    </dxf>
    <dxf>
      <border>
        <bottom style="thin">
          <color theme="7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numFmt numFmtId="164" formatCode="[$-409]dd\-mmm\-yy;@"/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st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numFmt numFmtId="164" formatCode="[$-409]dd\-mmm\-yy;@"/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st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Jost"/>
        <scheme val="none"/>
      </font>
      <alignment horizontal="righ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rial"/>
        <scheme val="none"/>
      </font>
      <fill>
        <patternFill patternType="solid">
          <fgColor rgb="FFB7B7B7"/>
          <bgColor theme="8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F2F5F7"/>
          <bgColor rgb="FFF2F5F7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F2F5F7"/>
          <bgColor rgb="FFF2F5F7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F2F5F7"/>
          <bgColor rgb="FFF2F5F7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F2F5F7"/>
          <bgColor rgb="FFF2F5F7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B2:C354">
  <autoFilter ref="B2:C354"/>
  <tableColumns count="2">
    <tableColumn id="1" name="Numero de compte" totalsRowLabel="Total" dataDxfId="39" totalsRowDxfId="38"/>
    <tableColumn id="2" name="rubriques" totalsRowFunction="count" dataDxfId="37" totalsRowDxfId="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B2:F60" totalsRowShown="0" headerRowDxfId="35">
  <autoFilter ref="B2:F60"/>
  <tableColumns count="5">
    <tableColumn id="1" name="N°" dataDxfId="34"/>
    <tableColumn id="2" name="RUBRIQUES" dataDxfId="33"/>
    <tableColumn id="3" name="EXPLICATION" dataDxfId="32"/>
    <tableColumn id="5" name="types" dataDxfId="31"/>
    <tableColumn id="4" name="reference" dataDxfId="30">
      <calculatedColumnFormula>CONCATENATE(Table3[[#This Row],[RUBRIQUES]],Table3[[#This Row],[EXPLICATION]],Table3[[#This Row],[types]])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E15:L29" totalsRowShown="0" headerRowDxfId="29" dataDxfId="28">
  <autoFilter ref="E15:L29"/>
  <tableColumns count="8">
    <tableColumn id="1" name="DATE" dataDxfId="27"/>
    <tableColumn id="2" name="N° DE COMPTE" dataDxfId="26"/>
    <tableColumn id="3" name="RUBRIQUES" dataDxfId="10"/>
    <tableColumn id="4" name="LIBELEE" dataDxfId="25"/>
    <tableColumn id="5" name="REF-FACT-CHEQUE" dataDxfId="24"/>
    <tableColumn id="6" name="DEBIT" dataDxfId="23"/>
    <tableColumn id="7" name="CREDIT" dataDxfId="22"/>
    <tableColumn id="8" name="COMMENTAIRE" dataDxfId="2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2" name="Table43" displayName="Table43" ref="N15:U29" totalsRowShown="0" headerRowDxfId="20" dataDxfId="19">
  <autoFilter ref="N15:U29"/>
  <tableColumns count="8">
    <tableColumn id="1" name="DATE" dataDxfId="18"/>
    <tableColumn id="2" name="N° DE COMPTE" dataDxfId="17"/>
    <tableColumn id="3" name="RUBRIQUES" dataDxfId="16"/>
    <tableColumn id="4" name="LIBELEE" dataDxfId="15"/>
    <tableColumn id="5" name="REF-FACT-CHEQUE" dataDxfId="14"/>
    <tableColumn id="6" name="DEBIT" dataDxfId="13"/>
    <tableColumn id="7" name="CREDIT" dataDxfId="12"/>
    <tableColumn id="8" name="COMMENTAIRE" dataDxfId="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  <pageSetUpPr fitToPage="1"/>
  </sheetPr>
  <dimension ref="A1:C366"/>
  <sheetViews>
    <sheetView showGridLines="0" topLeftCell="A16" workbookViewId="0">
      <selection activeCell="E52" sqref="E52"/>
    </sheetView>
  </sheetViews>
  <sheetFormatPr defaultColWidth="14.42578125" defaultRowHeight="15.75" customHeight="1" x14ac:dyDescent="0.2"/>
  <cols>
    <col min="1" max="1" width="14.42578125" style="7" customWidth="1"/>
    <col min="2" max="2" width="20.42578125" style="12" customWidth="1"/>
    <col min="3" max="3" width="113.7109375" customWidth="1"/>
  </cols>
  <sheetData>
    <row r="1" spans="2:3" ht="42.75" customHeight="1" x14ac:dyDescent="0.2">
      <c r="B1" s="1"/>
      <c r="C1" s="8"/>
    </row>
    <row r="2" spans="2:3" ht="33" customHeight="1" x14ac:dyDescent="0.2">
      <c r="B2" s="13" t="s">
        <v>344</v>
      </c>
      <c r="C2" s="14" t="s">
        <v>345</v>
      </c>
    </row>
    <row r="3" spans="2:3" ht="12.75" x14ac:dyDescent="0.2">
      <c r="B3" s="9">
        <v>10</v>
      </c>
      <c r="C3" s="2" t="s">
        <v>0</v>
      </c>
    </row>
    <row r="4" spans="2:3" ht="12.75" x14ac:dyDescent="0.2">
      <c r="B4" s="10">
        <v>101</v>
      </c>
      <c r="C4" s="5" t="s">
        <v>1</v>
      </c>
    </row>
    <row r="5" spans="2:3" ht="12.75" x14ac:dyDescent="0.2">
      <c r="B5" s="10">
        <v>102</v>
      </c>
      <c r="C5" s="5" t="s">
        <v>2</v>
      </c>
    </row>
    <row r="6" spans="2:3" ht="12.75" x14ac:dyDescent="0.2">
      <c r="B6" s="10">
        <v>104</v>
      </c>
      <c r="C6" s="5" t="s">
        <v>3</v>
      </c>
    </row>
    <row r="7" spans="2:3" ht="12.75" x14ac:dyDescent="0.2">
      <c r="B7" s="10">
        <v>105</v>
      </c>
      <c r="C7" s="5" t="s">
        <v>4</v>
      </c>
    </row>
    <row r="8" spans="2:3" ht="12.75" x14ac:dyDescent="0.2">
      <c r="B8" s="10">
        <v>106</v>
      </c>
      <c r="C8" s="5" t="s">
        <v>5</v>
      </c>
    </row>
    <row r="9" spans="2:3" ht="12.75" x14ac:dyDescent="0.2">
      <c r="B9" s="10">
        <v>107</v>
      </c>
      <c r="C9" s="5" t="s">
        <v>6</v>
      </c>
    </row>
    <row r="10" spans="2:3" ht="12.75" x14ac:dyDescent="0.2">
      <c r="B10" s="10">
        <v>108</v>
      </c>
      <c r="C10" s="5" t="s">
        <v>7</v>
      </c>
    </row>
    <row r="11" spans="2:3" ht="12.75" x14ac:dyDescent="0.2">
      <c r="B11" s="10">
        <v>109</v>
      </c>
      <c r="C11" s="5" t="s">
        <v>8</v>
      </c>
    </row>
    <row r="12" spans="2:3" ht="12.75" x14ac:dyDescent="0.2">
      <c r="B12" s="9">
        <v>11</v>
      </c>
      <c r="C12" s="2" t="s">
        <v>9</v>
      </c>
    </row>
    <row r="13" spans="2:3" ht="12.75" x14ac:dyDescent="0.2">
      <c r="B13" s="10">
        <v>110</v>
      </c>
      <c r="C13" s="5" t="s">
        <v>10</v>
      </c>
    </row>
    <row r="14" spans="2:3" ht="12.75" x14ac:dyDescent="0.2">
      <c r="B14" s="10">
        <v>119</v>
      </c>
      <c r="C14" s="5" t="s">
        <v>11</v>
      </c>
    </row>
    <row r="15" spans="2:3" ht="12.75" x14ac:dyDescent="0.2">
      <c r="B15" s="11">
        <v>12</v>
      </c>
      <c r="C15" s="3" t="s">
        <v>12</v>
      </c>
    </row>
    <row r="16" spans="2:3" ht="12.75" x14ac:dyDescent="0.2">
      <c r="B16" s="10">
        <v>120</v>
      </c>
      <c r="C16" s="5" t="s">
        <v>13</v>
      </c>
    </row>
    <row r="17" spans="2:3" ht="12.75" x14ac:dyDescent="0.2">
      <c r="B17" s="10">
        <v>129</v>
      </c>
      <c r="C17" s="5" t="s">
        <v>14</v>
      </c>
    </row>
    <row r="18" spans="2:3" ht="12.75" x14ac:dyDescent="0.2">
      <c r="B18" s="9">
        <v>13</v>
      </c>
      <c r="C18" s="2" t="s">
        <v>15</v>
      </c>
    </row>
    <row r="19" spans="2:3" ht="12.75" x14ac:dyDescent="0.2">
      <c r="B19" s="10">
        <v>131</v>
      </c>
      <c r="C19" s="5" t="s">
        <v>16</v>
      </c>
    </row>
    <row r="20" spans="2:3" ht="12.75" x14ac:dyDescent="0.2">
      <c r="B20" s="10">
        <v>138</v>
      </c>
      <c r="C20" s="5" t="s">
        <v>17</v>
      </c>
    </row>
    <row r="21" spans="2:3" ht="12.75" x14ac:dyDescent="0.2">
      <c r="B21" s="10">
        <v>139</v>
      </c>
      <c r="C21" s="5" t="s">
        <v>18</v>
      </c>
    </row>
    <row r="22" spans="2:3" ht="12.75" x14ac:dyDescent="0.2">
      <c r="B22" s="9">
        <v>14</v>
      </c>
      <c r="C22" s="2" t="s">
        <v>19</v>
      </c>
    </row>
    <row r="23" spans="2:3" ht="12.75" x14ac:dyDescent="0.2">
      <c r="B23" s="10">
        <v>142</v>
      </c>
      <c r="C23" s="5" t="s">
        <v>20</v>
      </c>
    </row>
    <row r="24" spans="2:3" ht="12.75" x14ac:dyDescent="0.2">
      <c r="B24" s="10">
        <v>143</v>
      </c>
      <c r="C24" s="5" t="s">
        <v>21</v>
      </c>
    </row>
    <row r="25" spans="2:3" ht="12.75" x14ac:dyDescent="0.2">
      <c r="B25" s="10">
        <v>144</v>
      </c>
      <c r="C25" s="5" t="s">
        <v>22</v>
      </c>
    </row>
    <row r="26" spans="2:3" ht="12.75" x14ac:dyDescent="0.2">
      <c r="B26" s="10">
        <v>145</v>
      </c>
      <c r="C26" s="5" t="s">
        <v>23</v>
      </c>
    </row>
    <row r="27" spans="2:3" ht="12.75" x14ac:dyDescent="0.2">
      <c r="B27" s="10">
        <v>146</v>
      </c>
      <c r="C27" s="5" t="s">
        <v>24</v>
      </c>
    </row>
    <row r="28" spans="2:3" ht="12.75" x14ac:dyDescent="0.2">
      <c r="B28" s="10">
        <v>147</v>
      </c>
      <c r="C28" s="5" t="s">
        <v>25</v>
      </c>
    </row>
    <row r="29" spans="2:3" ht="12.75" x14ac:dyDescent="0.2">
      <c r="B29" s="10">
        <v>148</v>
      </c>
      <c r="C29" s="5" t="s">
        <v>26</v>
      </c>
    </row>
    <row r="30" spans="2:3" ht="12.75" x14ac:dyDescent="0.2">
      <c r="B30" s="9">
        <v>15</v>
      </c>
      <c r="C30" s="2" t="s">
        <v>27</v>
      </c>
    </row>
    <row r="31" spans="2:3" ht="12.75" x14ac:dyDescent="0.2">
      <c r="B31" s="10">
        <v>151</v>
      </c>
      <c r="C31" s="5" t="s">
        <v>28</v>
      </c>
    </row>
    <row r="32" spans="2:3" ht="12.75" x14ac:dyDescent="0.2">
      <c r="B32" s="10">
        <v>153</v>
      </c>
      <c r="C32" s="5" t="s">
        <v>29</v>
      </c>
    </row>
    <row r="33" spans="2:3" ht="12.75" x14ac:dyDescent="0.2">
      <c r="B33" s="10">
        <v>154</v>
      </c>
      <c r="C33" s="5" t="s">
        <v>30</v>
      </c>
    </row>
    <row r="34" spans="2:3" ht="12.75" x14ac:dyDescent="0.2">
      <c r="B34" s="10">
        <v>155</v>
      </c>
      <c r="C34" s="5" t="s">
        <v>31</v>
      </c>
    </row>
    <row r="35" spans="2:3" ht="12.75" x14ac:dyDescent="0.2">
      <c r="B35" s="10">
        <v>156</v>
      </c>
      <c r="C35" s="5" t="s">
        <v>32</v>
      </c>
    </row>
    <row r="36" spans="2:3" ht="12.75" x14ac:dyDescent="0.2">
      <c r="B36" s="10">
        <v>157</v>
      </c>
      <c r="C36" s="5" t="s">
        <v>33</v>
      </c>
    </row>
    <row r="37" spans="2:3" ht="12.75" x14ac:dyDescent="0.2">
      <c r="B37" s="10">
        <v>158</v>
      </c>
      <c r="C37" s="5" t="s">
        <v>34</v>
      </c>
    </row>
    <row r="38" spans="2:3" ht="12.75" x14ac:dyDescent="0.2">
      <c r="B38" s="9">
        <v>16</v>
      </c>
      <c r="C38" s="2" t="s">
        <v>35</v>
      </c>
    </row>
    <row r="39" spans="2:3" ht="12.75" x14ac:dyDescent="0.2">
      <c r="B39" s="10">
        <v>161</v>
      </c>
      <c r="C39" s="5" t="s">
        <v>36</v>
      </c>
    </row>
    <row r="40" spans="2:3" ht="12.75" x14ac:dyDescent="0.2">
      <c r="B40" s="10">
        <v>162</v>
      </c>
      <c r="C40" s="5" t="s">
        <v>37</v>
      </c>
    </row>
    <row r="41" spans="2:3" ht="12.75" x14ac:dyDescent="0.2">
      <c r="B41" s="10">
        <v>163</v>
      </c>
      <c r="C41" s="5" t="s">
        <v>38</v>
      </c>
    </row>
    <row r="42" spans="2:3" ht="12.75" x14ac:dyDescent="0.2">
      <c r="B42" s="10">
        <v>164</v>
      </c>
      <c r="C42" s="5" t="s">
        <v>39</v>
      </c>
    </row>
    <row r="43" spans="2:3" ht="12.75" x14ac:dyDescent="0.2">
      <c r="B43" s="10">
        <v>165</v>
      </c>
      <c r="C43" s="5" t="s">
        <v>40</v>
      </c>
    </row>
    <row r="44" spans="2:3" ht="12.75" x14ac:dyDescent="0.2">
      <c r="B44" s="10">
        <v>166</v>
      </c>
      <c r="C44" s="5" t="s">
        <v>41</v>
      </c>
    </row>
    <row r="45" spans="2:3" ht="12.75" x14ac:dyDescent="0.2">
      <c r="B45" s="10">
        <v>167</v>
      </c>
      <c r="C45" s="5" t="s">
        <v>42</v>
      </c>
    </row>
    <row r="46" spans="2:3" ht="12.75" x14ac:dyDescent="0.2">
      <c r="B46" s="10">
        <v>168</v>
      </c>
      <c r="C46" s="5" t="s">
        <v>43</v>
      </c>
    </row>
    <row r="47" spans="2:3" ht="12.75" x14ac:dyDescent="0.2">
      <c r="B47" s="10">
        <v>169</v>
      </c>
      <c r="C47" s="5" t="s">
        <v>45</v>
      </c>
    </row>
    <row r="48" spans="2:3" ht="12.75" x14ac:dyDescent="0.2">
      <c r="B48" s="9">
        <v>17</v>
      </c>
      <c r="C48" s="2" t="s">
        <v>46</v>
      </c>
    </row>
    <row r="49" spans="2:3" ht="12.75" x14ac:dyDescent="0.2">
      <c r="B49" s="10">
        <v>171</v>
      </c>
      <c r="C49" s="5" t="s">
        <v>47</v>
      </c>
    </row>
    <row r="50" spans="2:3" ht="12.75" x14ac:dyDescent="0.2">
      <c r="B50" s="10">
        <v>174</v>
      </c>
      <c r="C50" s="5" t="s">
        <v>48</v>
      </c>
    </row>
    <row r="51" spans="2:3" ht="12.75" x14ac:dyDescent="0.2">
      <c r="B51" s="10">
        <v>178</v>
      </c>
      <c r="C51" s="5" t="s">
        <v>49</v>
      </c>
    </row>
    <row r="52" spans="2:3" ht="12.75" x14ac:dyDescent="0.2">
      <c r="B52" s="9">
        <v>18</v>
      </c>
      <c r="C52" s="2" t="s">
        <v>50</v>
      </c>
    </row>
    <row r="53" spans="2:3" ht="12.75" x14ac:dyDescent="0.2">
      <c r="B53" s="10">
        <v>181</v>
      </c>
      <c r="C53" s="5" t="s">
        <v>51</v>
      </c>
    </row>
    <row r="54" spans="2:3" ht="12.75" x14ac:dyDescent="0.2">
      <c r="B54" s="10">
        <v>186</v>
      </c>
      <c r="C54" s="5" t="s">
        <v>52</v>
      </c>
    </row>
    <row r="55" spans="2:3" ht="12.75" x14ac:dyDescent="0.2">
      <c r="B55" s="10">
        <v>187</v>
      </c>
      <c r="C55" s="5" t="s">
        <v>53</v>
      </c>
    </row>
    <row r="56" spans="2:3" ht="12.75" x14ac:dyDescent="0.2">
      <c r="B56" s="10">
        <v>188</v>
      </c>
      <c r="C56" s="5" t="s">
        <v>54</v>
      </c>
    </row>
    <row r="57" spans="2:3" ht="12.75" x14ac:dyDescent="0.2">
      <c r="B57" s="9">
        <v>20</v>
      </c>
      <c r="C57" s="2" t="s">
        <v>55</v>
      </c>
    </row>
    <row r="58" spans="2:3" ht="12.75" x14ac:dyDescent="0.2">
      <c r="B58" s="10">
        <v>201</v>
      </c>
      <c r="C58" s="5" t="s">
        <v>56</v>
      </c>
    </row>
    <row r="59" spans="2:3" ht="12.75" x14ac:dyDescent="0.2">
      <c r="B59" s="10">
        <v>203</v>
      </c>
      <c r="C59" s="5" t="s">
        <v>57</v>
      </c>
    </row>
    <row r="60" spans="2:3" ht="12.75" x14ac:dyDescent="0.2">
      <c r="B60" s="10">
        <v>205</v>
      </c>
      <c r="C60" s="5" t="s">
        <v>58</v>
      </c>
    </row>
    <row r="61" spans="2:3" ht="12.75" x14ac:dyDescent="0.2">
      <c r="B61" s="10">
        <v>206</v>
      </c>
      <c r="C61" s="5" t="s">
        <v>59</v>
      </c>
    </row>
    <row r="62" spans="2:3" ht="12.75" x14ac:dyDescent="0.2">
      <c r="B62" s="10">
        <v>207</v>
      </c>
      <c r="C62" s="5" t="s">
        <v>60</v>
      </c>
    </row>
    <row r="63" spans="2:3" ht="12.75" x14ac:dyDescent="0.2">
      <c r="B63" s="10">
        <v>208</v>
      </c>
      <c r="C63" s="5" t="s">
        <v>61</v>
      </c>
    </row>
    <row r="64" spans="2:3" ht="12.75" x14ac:dyDescent="0.2">
      <c r="B64" s="9">
        <v>21</v>
      </c>
      <c r="C64" s="2" t="s">
        <v>62</v>
      </c>
    </row>
    <row r="65" spans="2:3" ht="12.75" x14ac:dyDescent="0.2">
      <c r="B65" s="10">
        <v>211</v>
      </c>
      <c r="C65" s="5" t="s">
        <v>63</v>
      </c>
    </row>
    <row r="66" spans="2:3" ht="12.75" x14ac:dyDescent="0.2">
      <c r="B66" s="10">
        <v>212</v>
      </c>
      <c r="C66" s="5" t="s">
        <v>64</v>
      </c>
    </row>
    <row r="67" spans="2:3" ht="12.75" x14ac:dyDescent="0.2">
      <c r="B67" s="10">
        <v>213</v>
      </c>
      <c r="C67" s="5" t="s">
        <v>65</v>
      </c>
    </row>
    <row r="68" spans="2:3" ht="12.75" x14ac:dyDescent="0.2">
      <c r="B68" s="10">
        <v>214</v>
      </c>
      <c r="C68" s="5" t="s">
        <v>66</v>
      </c>
    </row>
    <row r="69" spans="2:3" ht="12.75" x14ac:dyDescent="0.2">
      <c r="B69" s="10">
        <v>215</v>
      </c>
      <c r="C69" s="5" t="s">
        <v>67</v>
      </c>
    </row>
    <row r="70" spans="2:3" ht="12.75" x14ac:dyDescent="0.2">
      <c r="B70" s="10">
        <v>218</v>
      </c>
      <c r="C70" s="5" t="s">
        <v>68</v>
      </c>
    </row>
    <row r="71" spans="2:3" ht="12.75" x14ac:dyDescent="0.2">
      <c r="B71" s="9">
        <v>22</v>
      </c>
      <c r="C71" s="2" t="s">
        <v>69</v>
      </c>
    </row>
    <row r="72" spans="2:3" ht="12.75" x14ac:dyDescent="0.2">
      <c r="B72" s="9">
        <v>23</v>
      </c>
      <c r="C72" s="2" t="s">
        <v>70</v>
      </c>
    </row>
    <row r="73" spans="2:3" ht="12.75" x14ac:dyDescent="0.2">
      <c r="B73" s="10">
        <v>231</v>
      </c>
      <c r="C73" s="5" t="s">
        <v>71</v>
      </c>
    </row>
    <row r="74" spans="2:3" ht="12.75" x14ac:dyDescent="0.2">
      <c r="B74" s="10">
        <v>232</v>
      </c>
      <c r="C74" s="5" t="s">
        <v>72</v>
      </c>
    </row>
    <row r="75" spans="2:3" ht="12.75" x14ac:dyDescent="0.2">
      <c r="B75" s="10">
        <v>237</v>
      </c>
      <c r="C75" s="5" t="s">
        <v>73</v>
      </c>
    </row>
    <row r="76" spans="2:3" ht="12.75" x14ac:dyDescent="0.2">
      <c r="B76" s="10">
        <v>238</v>
      </c>
      <c r="C76" s="5" t="s">
        <v>74</v>
      </c>
    </row>
    <row r="77" spans="2:3" ht="12.75" x14ac:dyDescent="0.2">
      <c r="B77" s="9">
        <v>25</v>
      </c>
      <c r="C77" s="2" t="s">
        <v>75</v>
      </c>
    </row>
    <row r="78" spans="2:3" ht="12.75" x14ac:dyDescent="0.2">
      <c r="B78" s="9">
        <v>26</v>
      </c>
      <c r="C78" s="2" t="s">
        <v>76</v>
      </c>
    </row>
    <row r="79" spans="2:3" ht="12.75" x14ac:dyDescent="0.2">
      <c r="B79" s="10">
        <v>261</v>
      </c>
      <c r="C79" s="5" t="s">
        <v>77</v>
      </c>
    </row>
    <row r="80" spans="2:3" ht="12.75" x14ac:dyDescent="0.2">
      <c r="B80" s="10">
        <v>266</v>
      </c>
      <c r="C80" s="5" t="s">
        <v>79</v>
      </c>
    </row>
    <row r="81" spans="2:3" ht="12.75" x14ac:dyDescent="0.2">
      <c r="B81" s="10">
        <v>267</v>
      </c>
      <c r="C81" s="5" t="s">
        <v>80</v>
      </c>
    </row>
    <row r="82" spans="2:3" ht="12.75" x14ac:dyDescent="0.2">
      <c r="B82" s="10">
        <v>268</v>
      </c>
      <c r="C82" s="5" t="s">
        <v>81</v>
      </c>
    </row>
    <row r="83" spans="2:3" ht="12.75" x14ac:dyDescent="0.2">
      <c r="B83" s="10">
        <v>269</v>
      </c>
      <c r="C83" s="5" t="s">
        <v>82</v>
      </c>
    </row>
    <row r="84" spans="2:3" ht="12.75" x14ac:dyDescent="0.2">
      <c r="B84" s="9">
        <v>27</v>
      </c>
      <c r="C84" s="2" t="s">
        <v>83</v>
      </c>
    </row>
    <row r="85" spans="2:3" ht="12.75" x14ac:dyDescent="0.2">
      <c r="B85" s="10">
        <v>271</v>
      </c>
      <c r="C85" s="5" t="s">
        <v>84</v>
      </c>
    </row>
    <row r="86" spans="2:3" ht="12.75" x14ac:dyDescent="0.2">
      <c r="B86" s="10">
        <v>272</v>
      </c>
      <c r="C86" s="5" t="s">
        <v>85</v>
      </c>
    </row>
    <row r="87" spans="2:3" ht="12.75" x14ac:dyDescent="0.2">
      <c r="B87" s="10">
        <v>273</v>
      </c>
      <c r="C87" s="5" t="s">
        <v>87</v>
      </c>
    </row>
    <row r="88" spans="2:3" ht="12.75" x14ac:dyDescent="0.2">
      <c r="B88" s="10">
        <v>274</v>
      </c>
      <c r="C88" s="5" t="s">
        <v>88</v>
      </c>
    </row>
    <row r="89" spans="2:3" ht="12.75" x14ac:dyDescent="0.2">
      <c r="B89" s="10">
        <v>275</v>
      </c>
      <c r="C89" s="5" t="s">
        <v>89</v>
      </c>
    </row>
    <row r="90" spans="2:3" ht="12.75" x14ac:dyDescent="0.2">
      <c r="B90" s="10">
        <v>276</v>
      </c>
      <c r="C90" s="5" t="s">
        <v>90</v>
      </c>
    </row>
    <row r="91" spans="2:3" ht="12.75" x14ac:dyDescent="0.2">
      <c r="B91" s="10">
        <v>277</v>
      </c>
      <c r="C91" s="5" t="s">
        <v>91</v>
      </c>
    </row>
    <row r="92" spans="2:3" ht="12.75" x14ac:dyDescent="0.2">
      <c r="B92" s="10">
        <v>278</v>
      </c>
      <c r="C92" s="5" t="s">
        <v>92</v>
      </c>
    </row>
    <row r="93" spans="2:3" ht="12.75" x14ac:dyDescent="0.2">
      <c r="B93" s="10">
        <v>279</v>
      </c>
      <c r="C93" s="5" t="s">
        <v>93</v>
      </c>
    </row>
    <row r="94" spans="2:3" ht="12.75" x14ac:dyDescent="0.2">
      <c r="B94" s="9">
        <v>28</v>
      </c>
      <c r="C94" s="2" t="s">
        <v>94</v>
      </c>
    </row>
    <row r="95" spans="2:3" ht="12.75" x14ac:dyDescent="0.2">
      <c r="B95" s="10">
        <v>280</v>
      </c>
      <c r="C95" s="5" t="s">
        <v>95</v>
      </c>
    </row>
    <row r="96" spans="2:3" ht="12.75" x14ac:dyDescent="0.2">
      <c r="B96" s="10">
        <v>281</v>
      </c>
      <c r="C96" s="5" t="s">
        <v>96</v>
      </c>
    </row>
    <row r="97" spans="2:3" ht="12.75" x14ac:dyDescent="0.2">
      <c r="B97" s="10">
        <v>282</v>
      </c>
      <c r="C97" s="6" t="s">
        <v>97</v>
      </c>
    </row>
    <row r="98" spans="2:3" ht="12.75" x14ac:dyDescent="0.2">
      <c r="B98" s="9">
        <v>29</v>
      </c>
      <c r="C98" s="2" t="s">
        <v>98</v>
      </c>
    </row>
    <row r="99" spans="2:3" ht="12.75" x14ac:dyDescent="0.2">
      <c r="B99" s="10">
        <v>290</v>
      </c>
      <c r="C99" s="5" t="s">
        <v>99</v>
      </c>
    </row>
    <row r="100" spans="2:3" ht="12.75" x14ac:dyDescent="0.2">
      <c r="B100" s="10">
        <v>291</v>
      </c>
      <c r="C100" s="5" t="s">
        <v>100</v>
      </c>
    </row>
    <row r="101" spans="2:3" ht="12.75" x14ac:dyDescent="0.2">
      <c r="B101" s="10">
        <v>292</v>
      </c>
      <c r="C101" s="5" t="s">
        <v>101</v>
      </c>
    </row>
    <row r="102" spans="2:3" ht="12.75" x14ac:dyDescent="0.2">
      <c r="B102" s="10">
        <v>293</v>
      </c>
      <c r="C102" s="5" t="s">
        <v>102</v>
      </c>
    </row>
    <row r="103" spans="2:3" ht="12.75" x14ac:dyDescent="0.2">
      <c r="B103" s="10">
        <v>296</v>
      </c>
      <c r="C103" s="5" t="s">
        <v>103</v>
      </c>
    </row>
    <row r="104" spans="2:3" ht="12.75" x14ac:dyDescent="0.2">
      <c r="B104" s="10">
        <v>297</v>
      </c>
      <c r="C104" s="5" t="s">
        <v>104</v>
      </c>
    </row>
    <row r="105" spans="2:3" ht="15.75" customHeight="1" x14ac:dyDescent="0.2">
      <c r="C105" s="7"/>
    </row>
    <row r="106" spans="2:3" ht="12.75" x14ac:dyDescent="0.2">
      <c r="B106" s="9">
        <v>31</v>
      </c>
      <c r="C106" s="2" t="s">
        <v>105</v>
      </c>
    </row>
    <row r="107" spans="2:3" ht="12.75" x14ac:dyDescent="0.2">
      <c r="B107" s="10">
        <v>311</v>
      </c>
      <c r="C107" s="5" t="s">
        <v>106</v>
      </c>
    </row>
    <row r="108" spans="2:3" ht="12.75" x14ac:dyDescent="0.2">
      <c r="B108" s="10">
        <v>312</v>
      </c>
      <c r="C108" s="5" t="s">
        <v>107</v>
      </c>
    </row>
    <row r="109" spans="2:3" ht="12.75" x14ac:dyDescent="0.2">
      <c r="B109" s="10">
        <v>317</v>
      </c>
      <c r="C109" s="5" t="s">
        <v>108</v>
      </c>
    </row>
    <row r="110" spans="2:3" ht="12.75" x14ac:dyDescent="0.2">
      <c r="B110" s="9">
        <v>32</v>
      </c>
      <c r="C110" s="2" t="s">
        <v>109</v>
      </c>
    </row>
    <row r="111" spans="2:3" ht="12.75" x14ac:dyDescent="0.2">
      <c r="B111" s="10">
        <v>321</v>
      </c>
      <c r="C111" s="5" t="s">
        <v>110</v>
      </c>
    </row>
    <row r="112" spans="2:3" ht="12.75" x14ac:dyDescent="0.2">
      <c r="B112" s="10">
        <v>322</v>
      </c>
      <c r="C112" s="5" t="s">
        <v>111</v>
      </c>
    </row>
    <row r="113" spans="2:3" ht="12.75" x14ac:dyDescent="0.2">
      <c r="B113" s="10">
        <v>326</v>
      </c>
      <c r="C113" s="5" t="s">
        <v>112</v>
      </c>
    </row>
    <row r="114" spans="2:3" ht="12.75" x14ac:dyDescent="0.2">
      <c r="B114" s="9">
        <v>33</v>
      </c>
      <c r="C114" s="2" t="s">
        <v>113</v>
      </c>
    </row>
    <row r="115" spans="2:3" ht="12.75" x14ac:dyDescent="0.2">
      <c r="B115" s="10">
        <v>331</v>
      </c>
      <c r="C115" s="5" t="s">
        <v>114</v>
      </c>
    </row>
    <row r="116" spans="2:3" ht="12.75" x14ac:dyDescent="0.2">
      <c r="B116" s="10">
        <v>335</v>
      </c>
      <c r="C116" s="5" t="s">
        <v>115</v>
      </c>
    </row>
    <row r="117" spans="2:3" ht="12.75" x14ac:dyDescent="0.2">
      <c r="B117" s="9">
        <v>34</v>
      </c>
      <c r="C117" s="2" t="s">
        <v>116</v>
      </c>
    </row>
    <row r="118" spans="2:3" ht="12.75" x14ac:dyDescent="0.2">
      <c r="B118" s="10">
        <v>341</v>
      </c>
      <c r="C118" s="5" t="s">
        <v>117</v>
      </c>
    </row>
    <row r="119" spans="2:3" ht="12.75" x14ac:dyDescent="0.2">
      <c r="B119" s="10">
        <v>345</v>
      </c>
      <c r="C119" s="5" t="s">
        <v>118</v>
      </c>
    </row>
    <row r="120" spans="2:3" ht="12.75" x14ac:dyDescent="0.2">
      <c r="B120" s="9">
        <v>35</v>
      </c>
      <c r="C120" s="2" t="s">
        <v>119</v>
      </c>
    </row>
    <row r="121" spans="2:3" ht="12.75" x14ac:dyDescent="0.2">
      <c r="B121" s="10">
        <v>351</v>
      </c>
      <c r="C121" s="5" t="s">
        <v>120</v>
      </c>
    </row>
    <row r="122" spans="2:3" ht="12.75" x14ac:dyDescent="0.2">
      <c r="B122" s="10">
        <v>355</v>
      </c>
      <c r="C122" s="5" t="s">
        <v>121</v>
      </c>
    </row>
    <row r="123" spans="2:3" ht="12.75" x14ac:dyDescent="0.2">
      <c r="B123" s="10">
        <v>358</v>
      </c>
      <c r="C123" s="5" t="s">
        <v>122</v>
      </c>
    </row>
    <row r="124" spans="2:3" ht="12.75" x14ac:dyDescent="0.2">
      <c r="B124" s="9">
        <v>36</v>
      </c>
      <c r="C124" s="2" t="s">
        <v>123</v>
      </c>
    </row>
    <row r="125" spans="2:3" ht="12.75" x14ac:dyDescent="0.2">
      <c r="B125" s="11">
        <v>37</v>
      </c>
      <c r="C125" s="4" t="s">
        <v>124</v>
      </c>
    </row>
    <row r="126" spans="2:3" ht="12.75" x14ac:dyDescent="0.2">
      <c r="B126" s="10">
        <v>371</v>
      </c>
      <c r="C126" s="5" t="s">
        <v>125</v>
      </c>
    </row>
    <row r="127" spans="2:3" ht="12.75" x14ac:dyDescent="0.2">
      <c r="B127" s="10">
        <v>372</v>
      </c>
      <c r="C127" s="5" t="s">
        <v>126</v>
      </c>
    </row>
    <row r="128" spans="2:3" ht="12.75" x14ac:dyDescent="0.2">
      <c r="B128" s="9">
        <v>38</v>
      </c>
      <c r="C128" s="2" t="s">
        <v>127</v>
      </c>
    </row>
    <row r="129" spans="2:3" ht="12.75" x14ac:dyDescent="0.2">
      <c r="B129" s="9">
        <v>39</v>
      </c>
      <c r="C129" s="2" t="s">
        <v>128</v>
      </c>
    </row>
    <row r="130" spans="2:3" ht="12.75" x14ac:dyDescent="0.2">
      <c r="B130" s="10">
        <v>391</v>
      </c>
      <c r="C130" s="5" t="s">
        <v>129</v>
      </c>
    </row>
    <row r="131" spans="2:3" ht="12.75" x14ac:dyDescent="0.2">
      <c r="B131" s="10">
        <v>392</v>
      </c>
      <c r="C131" s="5" t="s">
        <v>130</v>
      </c>
    </row>
    <row r="132" spans="2:3" ht="12.75" x14ac:dyDescent="0.2">
      <c r="B132" s="10">
        <v>393</v>
      </c>
      <c r="C132" s="5" t="s">
        <v>131</v>
      </c>
    </row>
    <row r="133" spans="2:3" ht="12.75" x14ac:dyDescent="0.2">
      <c r="B133" s="10">
        <v>394</v>
      </c>
      <c r="C133" s="5" t="s">
        <v>132</v>
      </c>
    </row>
    <row r="134" spans="2:3" ht="12.75" x14ac:dyDescent="0.2">
      <c r="B134" s="10">
        <v>395</v>
      </c>
      <c r="C134" s="5" t="s">
        <v>133</v>
      </c>
    </row>
    <row r="135" spans="2:3" ht="12.75" x14ac:dyDescent="0.2">
      <c r="B135" s="10">
        <v>397</v>
      </c>
      <c r="C135" s="5" t="s">
        <v>134</v>
      </c>
    </row>
    <row r="136" spans="2:3" ht="12.75" x14ac:dyDescent="0.2">
      <c r="B136" s="9">
        <v>40</v>
      </c>
      <c r="C136" s="2" t="s">
        <v>135</v>
      </c>
    </row>
    <row r="137" spans="2:3" ht="12.75" x14ac:dyDescent="0.2">
      <c r="B137" s="10">
        <v>400</v>
      </c>
      <c r="C137" s="5" t="s">
        <v>136</v>
      </c>
    </row>
    <row r="138" spans="2:3" ht="12.75" x14ac:dyDescent="0.2">
      <c r="B138" s="10">
        <v>401</v>
      </c>
      <c r="C138" s="5" t="s">
        <v>137</v>
      </c>
    </row>
    <row r="139" spans="2:3" ht="12.75" x14ac:dyDescent="0.2">
      <c r="B139" s="10">
        <v>403</v>
      </c>
      <c r="C139" s="5" t="s">
        <v>138</v>
      </c>
    </row>
    <row r="140" spans="2:3" ht="12.75" x14ac:dyDescent="0.2">
      <c r="B140" s="10">
        <v>404</v>
      </c>
      <c r="C140" s="5" t="s">
        <v>139</v>
      </c>
    </row>
    <row r="141" spans="2:3" ht="12.75" x14ac:dyDescent="0.2">
      <c r="B141" s="10">
        <v>405</v>
      </c>
      <c r="C141" s="5" t="s">
        <v>140</v>
      </c>
    </row>
    <row r="142" spans="2:3" ht="12.75" x14ac:dyDescent="0.2">
      <c r="B142" s="10">
        <v>408</v>
      </c>
      <c r="C142" s="5" t="s">
        <v>141</v>
      </c>
    </row>
    <row r="143" spans="2:3" ht="12.75" x14ac:dyDescent="0.2">
      <c r="B143" s="10">
        <v>409</v>
      </c>
      <c r="C143" s="5" t="s">
        <v>142</v>
      </c>
    </row>
    <row r="144" spans="2:3" ht="12.75" x14ac:dyDescent="0.2">
      <c r="B144" s="9">
        <v>41</v>
      </c>
      <c r="C144" s="2" t="s">
        <v>143</v>
      </c>
    </row>
    <row r="145" spans="2:3" ht="12.75" x14ac:dyDescent="0.2">
      <c r="B145" s="10">
        <v>410</v>
      </c>
      <c r="C145" s="5" t="s">
        <v>144</v>
      </c>
    </row>
    <row r="146" spans="2:3" ht="12.75" x14ac:dyDescent="0.2">
      <c r="B146" s="10">
        <v>411</v>
      </c>
      <c r="C146" s="5" t="s">
        <v>145</v>
      </c>
    </row>
    <row r="147" spans="2:3" ht="12.75" x14ac:dyDescent="0.2">
      <c r="B147" s="10">
        <v>413</v>
      </c>
      <c r="C147" s="5" t="s">
        <v>146</v>
      </c>
    </row>
    <row r="148" spans="2:3" ht="12.75" x14ac:dyDescent="0.2">
      <c r="B148" s="10">
        <v>416</v>
      </c>
      <c r="C148" s="5" t="s">
        <v>147</v>
      </c>
    </row>
    <row r="149" spans="2:3" ht="12.75" x14ac:dyDescent="0.2">
      <c r="B149" s="10">
        <v>418</v>
      </c>
      <c r="C149" s="5" t="s">
        <v>148</v>
      </c>
    </row>
    <row r="150" spans="2:3" ht="12.75" x14ac:dyDescent="0.2">
      <c r="B150" s="10">
        <v>419</v>
      </c>
      <c r="C150" s="5" t="s">
        <v>149</v>
      </c>
    </row>
    <row r="151" spans="2:3" ht="12.75" x14ac:dyDescent="0.2">
      <c r="B151" s="9">
        <v>42</v>
      </c>
      <c r="C151" s="2" t="s">
        <v>150</v>
      </c>
    </row>
    <row r="152" spans="2:3" ht="12.75" x14ac:dyDescent="0.2">
      <c r="B152" s="10">
        <v>421</v>
      </c>
      <c r="C152" s="5" t="s">
        <v>151</v>
      </c>
    </row>
    <row r="153" spans="2:3" ht="12.75" x14ac:dyDescent="0.2">
      <c r="B153" s="10">
        <v>422</v>
      </c>
      <c r="C153" s="5" t="s">
        <v>152</v>
      </c>
    </row>
    <row r="154" spans="2:3" ht="12.75" x14ac:dyDescent="0.2">
      <c r="B154" s="10">
        <v>424</v>
      </c>
      <c r="C154" s="5" t="s">
        <v>41</v>
      </c>
    </row>
    <row r="155" spans="2:3" ht="12.75" x14ac:dyDescent="0.2">
      <c r="B155" s="10">
        <v>425</v>
      </c>
      <c r="C155" s="5" t="s">
        <v>153</v>
      </c>
    </row>
    <row r="156" spans="2:3" ht="12.75" x14ac:dyDescent="0.2">
      <c r="B156" s="10">
        <v>426</v>
      </c>
      <c r="C156" s="5" t="s">
        <v>154</v>
      </c>
    </row>
    <row r="157" spans="2:3" ht="12.75" x14ac:dyDescent="0.2">
      <c r="B157" s="10">
        <v>427</v>
      </c>
      <c r="C157" s="5" t="s">
        <v>155</v>
      </c>
    </row>
    <row r="158" spans="2:3" ht="12.75" x14ac:dyDescent="0.2">
      <c r="B158" s="10">
        <v>428</v>
      </c>
      <c r="C158" s="5" t="s">
        <v>156</v>
      </c>
    </row>
    <row r="159" spans="2:3" ht="12.75" x14ac:dyDescent="0.2">
      <c r="B159" s="9">
        <v>43</v>
      </c>
      <c r="C159" s="2" t="s">
        <v>157</v>
      </c>
    </row>
    <row r="160" spans="2:3" ht="12.75" x14ac:dyDescent="0.2">
      <c r="B160" s="10">
        <v>431</v>
      </c>
      <c r="C160" s="5" t="s">
        <v>158</v>
      </c>
    </row>
    <row r="161" spans="2:3" ht="12.75" x14ac:dyDescent="0.2">
      <c r="B161" s="10">
        <v>437</v>
      </c>
      <c r="C161" s="5" t="s">
        <v>159</v>
      </c>
    </row>
    <row r="162" spans="2:3" ht="12.75" x14ac:dyDescent="0.2">
      <c r="B162" s="10">
        <v>438</v>
      </c>
      <c r="C162" s="5" t="s">
        <v>160</v>
      </c>
    </row>
    <row r="163" spans="2:3" ht="12.75" x14ac:dyDescent="0.2">
      <c r="B163" s="9">
        <v>44</v>
      </c>
      <c r="C163" s="2" t="s">
        <v>161</v>
      </c>
    </row>
    <row r="164" spans="2:3" ht="12.75" x14ac:dyDescent="0.2">
      <c r="B164" s="10">
        <v>441</v>
      </c>
      <c r="C164" s="5" t="s">
        <v>162</v>
      </c>
    </row>
    <row r="165" spans="2:3" ht="12.75" x14ac:dyDescent="0.2">
      <c r="B165" s="10">
        <v>442</v>
      </c>
      <c r="C165" s="5" t="s">
        <v>163</v>
      </c>
    </row>
    <row r="166" spans="2:3" ht="12.75" x14ac:dyDescent="0.2">
      <c r="B166" s="10">
        <v>443</v>
      </c>
      <c r="C166" s="5" t="s">
        <v>164</v>
      </c>
    </row>
    <row r="167" spans="2:3" ht="12.75" x14ac:dyDescent="0.2">
      <c r="B167" s="10">
        <v>444</v>
      </c>
      <c r="C167" s="5" t="s">
        <v>165</v>
      </c>
    </row>
    <row r="168" spans="2:3" ht="12.75" x14ac:dyDescent="0.2">
      <c r="B168" s="10">
        <v>445</v>
      </c>
      <c r="C168" s="5" t="s">
        <v>166</v>
      </c>
    </row>
    <row r="169" spans="2:3" ht="12.75" x14ac:dyDescent="0.2">
      <c r="B169" s="10">
        <v>446</v>
      </c>
      <c r="C169" s="5" t="s">
        <v>167</v>
      </c>
    </row>
    <row r="170" spans="2:3" ht="12.75" x14ac:dyDescent="0.2">
      <c r="B170" s="10">
        <v>447</v>
      </c>
      <c r="C170" s="5" t="s">
        <v>168</v>
      </c>
    </row>
    <row r="171" spans="2:3" ht="12.75" x14ac:dyDescent="0.2">
      <c r="B171" s="10">
        <v>448</v>
      </c>
      <c r="C171" s="5" t="s">
        <v>169</v>
      </c>
    </row>
    <row r="172" spans="2:3" ht="12.75" x14ac:dyDescent="0.2">
      <c r="B172" s="10">
        <v>449</v>
      </c>
      <c r="C172" s="6" t="s">
        <v>170</v>
      </c>
    </row>
    <row r="173" spans="2:3" ht="12.75" x14ac:dyDescent="0.2">
      <c r="B173" s="9">
        <v>45</v>
      </c>
      <c r="C173" s="2" t="s">
        <v>171</v>
      </c>
    </row>
    <row r="174" spans="2:3" ht="12.75" x14ac:dyDescent="0.2">
      <c r="B174" s="10">
        <v>451</v>
      </c>
      <c r="C174" s="6" t="s">
        <v>172</v>
      </c>
    </row>
    <row r="175" spans="2:3" ht="12.75" x14ac:dyDescent="0.2">
      <c r="B175" s="10">
        <v>455</v>
      </c>
      <c r="C175" s="5" t="s">
        <v>173</v>
      </c>
    </row>
    <row r="176" spans="2:3" ht="12.75" x14ac:dyDescent="0.2">
      <c r="B176" s="10">
        <v>456</v>
      </c>
      <c r="C176" s="5" t="s">
        <v>174</v>
      </c>
    </row>
    <row r="177" spans="2:3" ht="12.75" x14ac:dyDescent="0.2">
      <c r="B177" s="10">
        <v>457</v>
      </c>
      <c r="C177" s="5" t="s">
        <v>175</v>
      </c>
    </row>
    <row r="178" spans="2:3" ht="12.75" x14ac:dyDescent="0.2">
      <c r="B178" s="10">
        <v>458</v>
      </c>
      <c r="C178" s="5" t="s">
        <v>176</v>
      </c>
    </row>
    <row r="179" spans="2:3" ht="12.75" x14ac:dyDescent="0.2">
      <c r="B179" s="9">
        <v>46</v>
      </c>
      <c r="C179" s="2" t="s">
        <v>177</v>
      </c>
    </row>
    <row r="180" spans="2:3" ht="12.75" x14ac:dyDescent="0.2">
      <c r="B180" s="10">
        <v>462</v>
      </c>
      <c r="C180" s="5" t="s">
        <v>178</v>
      </c>
    </row>
    <row r="181" spans="2:3" ht="12.75" x14ac:dyDescent="0.2">
      <c r="B181" s="10">
        <v>464</v>
      </c>
      <c r="C181" s="5" t="s">
        <v>179</v>
      </c>
    </row>
    <row r="182" spans="2:3" ht="12.75" x14ac:dyDescent="0.2">
      <c r="B182" s="10">
        <v>465</v>
      </c>
      <c r="C182" s="5" t="s">
        <v>180</v>
      </c>
    </row>
    <row r="183" spans="2:3" ht="12.75" x14ac:dyDescent="0.2">
      <c r="B183" s="10">
        <v>467</v>
      </c>
      <c r="C183" s="5" t="s">
        <v>181</v>
      </c>
    </row>
    <row r="184" spans="2:3" ht="12.75" x14ac:dyDescent="0.2">
      <c r="B184" s="10">
        <v>468</v>
      </c>
      <c r="C184" s="5" t="s">
        <v>182</v>
      </c>
    </row>
    <row r="185" spans="2:3" ht="12.75" x14ac:dyDescent="0.2">
      <c r="B185" s="9">
        <v>47</v>
      </c>
      <c r="C185" s="2" t="s">
        <v>183</v>
      </c>
    </row>
    <row r="186" spans="2:3" ht="12.75" x14ac:dyDescent="0.2">
      <c r="B186" s="10">
        <v>471</v>
      </c>
      <c r="C186" s="5" t="s">
        <v>184</v>
      </c>
    </row>
    <row r="187" spans="2:3" ht="12.75" x14ac:dyDescent="0.2">
      <c r="B187" s="10">
        <v>472</v>
      </c>
      <c r="C187" s="5" t="s">
        <v>184</v>
      </c>
    </row>
    <row r="188" spans="2:3" ht="12.75" x14ac:dyDescent="0.2">
      <c r="B188" s="10">
        <v>473</v>
      </c>
      <c r="C188" s="5" t="s">
        <v>184</v>
      </c>
    </row>
    <row r="189" spans="2:3" ht="12.75" x14ac:dyDescent="0.2">
      <c r="B189" s="10">
        <v>474</v>
      </c>
      <c r="C189" s="5" t="s">
        <v>185</v>
      </c>
    </row>
    <row r="190" spans="2:3" ht="12.75" x14ac:dyDescent="0.2">
      <c r="B190" s="10">
        <v>475</v>
      </c>
      <c r="C190" s="5" t="s">
        <v>184</v>
      </c>
    </row>
    <row r="191" spans="2:3" ht="12.75" x14ac:dyDescent="0.2">
      <c r="B191" s="10">
        <v>476</v>
      </c>
      <c r="C191" s="5" t="s">
        <v>186</v>
      </c>
    </row>
    <row r="192" spans="2:3" ht="12.75" x14ac:dyDescent="0.2">
      <c r="B192" s="10">
        <v>477</v>
      </c>
      <c r="C192" s="5" t="s">
        <v>187</v>
      </c>
    </row>
    <row r="193" spans="2:3" ht="12.75" x14ac:dyDescent="0.2">
      <c r="B193" s="10">
        <v>478</v>
      </c>
      <c r="C193" s="5" t="s">
        <v>188</v>
      </c>
    </row>
    <row r="194" spans="2:3" ht="12.75" x14ac:dyDescent="0.2">
      <c r="B194" s="9">
        <v>48</v>
      </c>
      <c r="C194" s="2" t="s">
        <v>189</v>
      </c>
    </row>
    <row r="195" spans="2:3" ht="12.75" x14ac:dyDescent="0.2">
      <c r="B195" s="10">
        <v>481</v>
      </c>
      <c r="C195" s="5" t="s">
        <v>190</v>
      </c>
    </row>
    <row r="196" spans="2:3" ht="12.75" x14ac:dyDescent="0.2">
      <c r="B196" s="10">
        <v>486</v>
      </c>
      <c r="C196" s="5" t="s">
        <v>191</v>
      </c>
    </row>
    <row r="197" spans="2:3" ht="12.75" x14ac:dyDescent="0.2">
      <c r="B197" s="10">
        <v>487</v>
      </c>
      <c r="C197" s="5" t="s">
        <v>192</v>
      </c>
    </row>
    <row r="198" spans="2:3" ht="12.75" x14ac:dyDescent="0.2">
      <c r="B198" s="10">
        <v>488</v>
      </c>
      <c r="C198" s="5" t="s">
        <v>193</v>
      </c>
    </row>
    <row r="199" spans="2:3" ht="12.75" x14ac:dyDescent="0.2">
      <c r="B199" s="9">
        <v>49</v>
      </c>
      <c r="C199" s="2" t="s">
        <v>194</v>
      </c>
    </row>
    <row r="200" spans="2:3" ht="12.75" x14ac:dyDescent="0.2">
      <c r="B200" s="10">
        <v>491</v>
      </c>
      <c r="C200" s="5" t="s">
        <v>195</v>
      </c>
    </row>
    <row r="201" spans="2:3" ht="12.75" x14ac:dyDescent="0.2">
      <c r="B201" s="10">
        <v>495</v>
      </c>
      <c r="C201" s="5" t="s">
        <v>196</v>
      </c>
    </row>
    <row r="202" spans="2:3" ht="12.75" x14ac:dyDescent="0.2">
      <c r="B202" s="10">
        <v>496</v>
      </c>
      <c r="C202" s="5" t="s">
        <v>197</v>
      </c>
    </row>
    <row r="203" spans="2:3" ht="12.75" x14ac:dyDescent="0.2">
      <c r="B203" s="9">
        <v>50</v>
      </c>
      <c r="C203" s="2" t="s">
        <v>198</v>
      </c>
    </row>
    <row r="204" spans="2:3" ht="12.75" x14ac:dyDescent="0.2">
      <c r="B204" s="10">
        <v>501</v>
      </c>
      <c r="C204" s="5" t="s">
        <v>199</v>
      </c>
    </row>
    <row r="205" spans="2:3" ht="12.75" x14ac:dyDescent="0.2">
      <c r="B205" s="10">
        <v>502</v>
      </c>
      <c r="C205" s="5" t="s">
        <v>200</v>
      </c>
    </row>
    <row r="206" spans="2:3" ht="12.75" x14ac:dyDescent="0.2">
      <c r="B206" s="10">
        <v>503</v>
      </c>
      <c r="C206" s="5" t="s">
        <v>78</v>
      </c>
    </row>
    <row r="207" spans="2:3" ht="12.75" x14ac:dyDescent="0.2">
      <c r="B207" s="10">
        <v>504</v>
      </c>
      <c r="C207" s="5" t="s">
        <v>201</v>
      </c>
    </row>
    <row r="208" spans="2:3" ht="12.75" x14ac:dyDescent="0.2">
      <c r="B208" s="10">
        <v>505</v>
      </c>
      <c r="C208" s="5" t="s">
        <v>202</v>
      </c>
    </row>
    <row r="209" spans="2:3" ht="12.75" x14ac:dyDescent="0.2">
      <c r="B209" s="10">
        <v>506</v>
      </c>
      <c r="C209" s="5" t="s">
        <v>86</v>
      </c>
    </row>
    <row r="210" spans="2:3" ht="12.75" x14ac:dyDescent="0.2">
      <c r="B210" s="10">
        <v>507</v>
      </c>
      <c r="C210" s="5" t="s">
        <v>203</v>
      </c>
    </row>
    <row r="211" spans="2:3" ht="12.75" x14ac:dyDescent="0.2">
      <c r="B211" s="10">
        <v>508</v>
      </c>
      <c r="C211" s="5" t="s">
        <v>204</v>
      </c>
    </row>
    <row r="212" spans="2:3" ht="12.75" x14ac:dyDescent="0.2">
      <c r="B212" s="10">
        <v>509</v>
      </c>
      <c r="C212" s="5" t="s">
        <v>205</v>
      </c>
    </row>
    <row r="213" spans="2:3" ht="12.75" x14ac:dyDescent="0.2">
      <c r="B213" s="9">
        <v>51</v>
      </c>
      <c r="C213" s="2" t="s">
        <v>206</v>
      </c>
    </row>
    <row r="214" spans="2:3" ht="12.75" x14ac:dyDescent="0.2">
      <c r="B214" s="10">
        <v>511</v>
      </c>
      <c r="C214" s="5" t="s">
        <v>207</v>
      </c>
    </row>
    <row r="215" spans="2:3" ht="12.75" x14ac:dyDescent="0.2">
      <c r="B215" s="10">
        <v>512</v>
      </c>
      <c r="C215" s="5" t="s">
        <v>208</v>
      </c>
    </row>
    <row r="216" spans="2:3" ht="12.75" x14ac:dyDescent="0.2">
      <c r="B216" s="10">
        <v>514</v>
      </c>
      <c r="C216" s="5" t="s">
        <v>209</v>
      </c>
    </row>
    <row r="217" spans="2:3" ht="12.75" x14ac:dyDescent="0.2">
      <c r="B217" s="10">
        <v>515</v>
      </c>
      <c r="C217" s="5" t="s">
        <v>210</v>
      </c>
    </row>
    <row r="218" spans="2:3" ht="12.75" x14ac:dyDescent="0.2">
      <c r="B218" s="10">
        <v>516</v>
      </c>
      <c r="C218" s="5" t="s">
        <v>211</v>
      </c>
    </row>
    <row r="219" spans="2:3" ht="12.75" x14ac:dyDescent="0.2">
      <c r="B219" s="10">
        <v>517</v>
      </c>
      <c r="C219" s="5" t="s">
        <v>212</v>
      </c>
    </row>
    <row r="220" spans="2:3" ht="12.75" x14ac:dyDescent="0.2">
      <c r="B220" s="10">
        <v>518</v>
      </c>
      <c r="C220" s="5" t="s">
        <v>44</v>
      </c>
    </row>
    <row r="221" spans="2:3" ht="12.75" x14ac:dyDescent="0.2">
      <c r="B221" s="10">
        <v>519</v>
      </c>
      <c r="C221" s="5" t="s">
        <v>213</v>
      </c>
    </row>
    <row r="222" spans="2:3" ht="12.75" x14ac:dyDescent="0.2">
      <c r="B222" s="9">
        <v>52</v>
      </c>
      <c r="C222" s="2" t="s">
        <v>214</v>
      </c>
    </row>
    <row r="223" spans="2:3" ht="12.75" x14ac:dyDescent="0.2">
      <c r="B223" s="10">
        <v>521</v>
      </c>
      <c r="C223" s="5" t="s">
        <v>215</v>
      </c>
    </row>
    <row r="224" spans="2:3" ht="12.75" x14ac:dyDescent="0.2">
      <c r="B224" s="10">
        <v>522</v>
      </c>
      <c r="C224" s="5" t="s">
        <v>216</v>
      </c>
    </row>
    <row r="225" spans="2:3" ht="12.75" x14ac:dyDescent="0.2">
      <c r="B225" s="10">
        <v>523</v>
      </c>
      <c r="C225" s="5" t="s">
        <v>217</v>
      </c>
    </row>
    <row r="226" spans="2:3" ht="12.75" x14ac:dyDescent="0.2">
      <c r="B226" s="10">
        <v>524</v>
      </c>
      <c r="C226" s="5" t="s">
        <v>218</v>
      </c>
    </row>
    <row r="227" spans="2:3" ht="12.75" x14ac:dyDescent="0.2">
      <c r="B227" s="9">
        <v>53</v>
      </c>
      <c r="C227" s="2" t="s">
        <v>219</v>
      </c>
    </row>
    <row r="228" spans="2:3" ht="12.75" x14ac:dyDescent="0.2">
      <c r="B228" s="10">
        <v>531</v>
      </c>
      <c r="C228" s="5" t="s">
        <v>220</v>
      </c>
    </row>
    <row r="229" spans="2:3" ht="12.75" x14ac:dyDescent="0.2">
      <c r="B229" s="10">
        <v>532</v>
      </c>
      <c r="C229" s="5" t="s">
        <v>221</v>
      </c>
    </row>
    <row r="230" spans="2:3" ht="12.75" x14ac:dyDescent="0.2">
      <c r="B230" s="10">
        <v>533</v>
      </c>
      <c r="C230" s="5" t="s">
        <v>222</v>
      </c>
    </row>
    <row r="231" spans="2:3" ht="12.75" x14ac:dyDescent="0.2">
      <c r="B231" s="9">
        <v>54</v>
      </c>
      <c r="C231" s="2" t="s">
        <v>223</v>
      </c>
    </row>
    <row r="232" spans="2:3" ht="12.75" x14ac:dyDescent="0.2">
      <c r="B232" s="9">
        <v>58</v>
      </c>
      <c r="C232" s="2" t="s">
        <v>224</v>
      </c>
    </row>
    <row r="233" spans="2:3" ht="12.75" x14ac:dyDescent="0.2">
      <c r="B233" s="9">
        <v>59</v>
      </c>
      <c r="C233" s="2" t="s">
        <v>225</v>
      </c>
    </row>
    <row r="234" spans="2:3" ht="12.75" x14ac:dyDescent="0.2">
      <c r="B234" s="10">
        <v>590</v>
      </c>
      <c r="C234" s="5" t="s">
        <v>226</v>
      </c>
    </row>
    <row r="235" spans="2:3" ht="12.75" x14ac:dyDescent="0.2">
      <c r="B235" s="9">
        <v>60</v>
      </c>
      <c r="C235" s="2" t="s">
        <v>227</v>
      </c>
    </row>
    <row r="236" spans="2:3" ht="12.75" x14ac:dyDescent="0.2">
      <c r="B236" s="10">
        <v>601</v>
      </c>
      <c r="C236" s="5" t="s">
        <v>228</v>
      </c>
    </row>
    <row r="237" spans="2:3" ht="12.75" x14ac:dyDescent="0.2">
      <c r="B237" s="10">
        <v>602</v>
      </c>
      <c r="C237" s="5" t="s">
        <v>229</v>
      </c>
    </row>
    <row r="238" spans="2:3" ht="12.75" x14ac:dyDescent="0.2">
      <c r="B238" s="10">
        <v>604</v>
      </c>
      <c r="C238" s="5" t="s">
        <v>230</v>
      </c>
    </row>
    <row r="239" spans="2:3" ht="12.75" x14ac:dyDescent="0.2">
      <c r="B239" s="10">
        <v>605</v>
      </c>
      <c r="C239" s="5" t="s">
        <v>231</v>
      </c>
    </row>
    <row r="240" spans="2:3" ht="12.75" x14ac:dyDescent="0.2">
      <c r="B240" s="10">
        <v>606</v>
      </c>
      <c r="C240" s="5" t="s">
        <v>232</v>
      </c>
    </row>
    <row r="241" spans="2:3" ht="12.75" x14ac:dyDescent="0.2">
      <c r="B241" s="10">
        <v>607</v>
      </c>
      <c r="C241" s="5" t="s">
        <v>233</v>
      </c>
    </row>
    <row r="242" spans="2:3" ht="12.75" x14ac:dyDescent="0.2">
      <c r="B242" s="10">
        <v>608</v>
      </c>
      <c r="C242" s="5" t="s">
        <v>234</v>
      </c>
    </row>
    <row r="243" spans="2:3" ht="12.75" x14ac:dyDescent="0.2">
      <c r="B243" s="10">
        <v>609</v>
      </c>
      <c r="C243" s="5" t="s">
        <v>235</v>
      </c>
    </row>
    <row r="244" spans="2:3" ht="12.75" x14ac:dyDescent="0.2">
      <c r="B244" s="10">
        <v>603</v>
      </c>
      <c r="C244" s="5" t="s">
        <v>236</v>
      </c>
    </row>
    <row r="245" spans="2:3" ht="12.75" x14ac:dyDescent="0.2">
      <c r="B245" s="9">
        <v>61</v>
      </c>
      <c r="C245" s="2" t="s">
        <v>237</v>
      </c>
    </row>
    <row r="246" spans="2:3" ht="12.75" x14ac:dyDescent="0.2">
      <c r="B246" s="10">
        <v>611</v>
      </c>
      <c r="C246" s="5" t="s">
        <v>238</v>
      </c>
    </row>
    <row r="247" spans="2:3" ht="12.75" x14ac:dyDescent="0.2">
      <c r="B247" s="10">
        <v>612</v>
      </c>
      <c r="C247" s="5" t="s">
        <v>239</v>
      </c>
    </row>
    <row r="248" spans="2:3" ht="12.75" x14ac:dyDescent="0.2">
      <c r="B248" s="10">
        <v>613</v>
      </c>
      <c r="C248" s="5" t="s">
        <v>240</v>
      </c>
    </row>
    <row r="249" spans="2:3" ht="12.75" x14ac:dyDescent="0.2">
      <c r="B249" s="10">
        <v>614</v>
      </c>
      <c r="C249" s="5" t="s">
        <v>241</v>
      </c>
    </row>
    <row r="250" spans="2:3" ht="12.75" x14ac:dyDescent="0.2">
      <c r="B250" s="10">
        <v>615</v>
      </c>
      <c r="C250" s="5" t="s">
        <v>242</v>
      </c>
    </row>
    <row r="251" spans="2:3" ht="12.75" x14ac:dyDescent="0.2">
      <c r="B251" s="10">
        <v>616</v>
      </c>
      <c r="C251" s="5" t="s">
        <v>243</v>
      </c>
    </row>
    <row r="252" spans="2:3" ht="12.75" x14ac:dyDescent="0.2">
      <c r="B252" s="10">
        <v>617</v>
      </c>
      <c r="C252" s="5" t="s">
        <v>244</v>
      </c>
    </row>
    <row r="253" spans="2:3" ht="12.75" x14ac:dyDescent="0.2">
      <c r="B253" s="10">
        <v>618</v>
      </c>
      <c r="C253" s="5" t="s">
        <v>245</v>
      </c>
    </row>
    <row r="254" spans="2:3" ht="12.75" x14ac:dyDescent="0.2">
      <c r="B254" s="10">
        <v>619</v>
      </c>
      <c r="C254" s="5" t="s">
        <v>246</v>
      </c>
    </row>
    <row r="255" spans="2:3" ht="12.75" x14ac:dyDescent="0.2">
      <c r="B255" s="9">
        <v>62</v>
      </c>
      <c r="C255" s="2" t="s">
        <v>247</v>
      </c>
    </row>
    <row r="256" spans="2:3" ht="12.75" x14ac:dyDescent="0.2">
      <c r="B256" s="10">
        <v>621</v>
      </c>
      <c r="C256" s="5" t="s">
        <v>248</v>
      </c>
    </row>
    <row r="257" spans="2:3" ht="12.75" x14ac:dyDescent="0.2">
      <c r="B257" s="10">
        <v>622</v>
      </c>
      <c r="C257" s="5" t="s">
        <v>249</v>
      </c>
    </row>
    <row r="258" spans="2:3" ht="12.75" x14ac:dyDescent="0.2">
      <c r="B258" s="10">
        <v>623</v>
      </c>
      <c r="C258" s="5" t="s">
        <v>250</v>
      </c>
    </row>
    <row r="259" spans="2:3" ht="12.75" x14ac:dyDescent="0.2">
      <c r="B259" s="10">
        <v>624</v>
      </c>
      <c r="C259" s="5" t="s">
        <v>251</v>
      </c>
    </row>
    <row r="260" spans="2:3" ht="12.75" x14ac:dyDescent="0.2">
      <c r="B260" s="10">
        <v>625</v>
      </c>
      <c r="C260" s="5" t="s">
        <v>252</v>
      </c>
    </row>
    <row r="261" spans="2:3" ht="12.75" x14ac:dyDescent="0.2">
      <c r="B261" s="10">
        <v>626</v>
      </c>
      <c r="C261" s="5" t="s">
        <v>253</v>
      </c>
    </row>
    <row r="262" spans="2:3" ht="12.75" x14ac:dyDescent="0.2">
      <c r="B262" s="10">
        <v>627</v>
      </c>
      <c r="C262" s="5" t="s">
        <v>254</v>
      </c>
    </row>
    <row r="263" spans="2:3" ht="12.75" x14ac:dyDescent="0.2">
      <c r="B263" s="10">
        <v>628</v>
      </c>
      <c r="C263" s="5" t="s">
        <v>245</v>
      </c>
    </row>
    <row r="264" spans="2:3" ht="12.75" x14ac:dyDescent="0.2">
      <c r="B264" s="10">
        <v>629</v>
      </c>
      <c r="C264" s="5" t="s">
        <v>255</v>
      </c>
    </row>
    <row r="265" spans="2:3" ht="12.75" x14ac:dyDescent="0.2">
      <c r="B265" s="9">
        <v>63</v>
      </c>
      <c r="C265" s="2" t="s">
        <v>256</v>
      </c>
    </row>
    <row r="266" spans="2:3" ht="12.75" x14ac:dyDescent="0.2">
      <c r="B266" s="10">
        <v>631</v>
      </c>
      <c r="C266" s="5" t="s">
        <v>257</v>
      </c>
    </row>
    <row r="267" spans="2:3" ht="12.75" x14ac:dyDescent="0.2">
      <c r="B267" s="10">
        <v>633</v>
      </c>
      <c r="C267" s="5" t="s">
        <v>258</v>
      </c>
    </row>
    <row r="268" spans="2:3" ht="12.75" x14ac:dyDescent="0.2">
      <c r="B268" s="10">
        <v>635</v>
      </c>
      <c r="C268" s="5" t="s">
        <v>259</v>
      </c>
    </row>
    <row r="269" spans="2:3" ht="12.75" x14ac:dyDescent="0.2">
      <c r="B269" s="10">
        <v>637</v>
      </c>
      <c r="C269" s="5" t="s">
        <v>260</v>
      </c>
    </row>
    <row r="270" spans="2:3" ht="12.75" x14ac:dyDescent="0.2">
      <c r="B270" s="9">
        <v>64</v>
      </c>
      <c r="C270" s="2" t="s">
        <v>261</v>
      </c>
    </row>
    <row r="271" spans="2:3" ht="12.75" x14ac:dyDescent="0.2">
      <c r="B271" s="10">
        <v>641</v>
      </c>
      <c r="C271" s="5" t="s">
        <v>262</v>
      </c>
    </row>
    <row r="272" spans="2:3" ht="12.75" x14ac:dyDescent="0.2">
      <c r="B272" s="10">
        <v>644</v>
      </c>
      <c r="C272" s="5" t="s">
        <v>263</v>
      </c>
    </row>
    <row r="273" spans="2:3" ht="12.75" x14ac:dyDescent="0.2">
      <c r="B273" s="10">
        <v>645</v>
      </c>
      <c r="C273" s="5" t="s">
        <v>264</v>
      </c>
    </row>
    <row r="274" spans="2:3" ht="12.75" x14ac:dyDescent="0.2">
      <c r="B274" s="10">
        <v>646</v>
      </c>
      <c r="C274" s="5" t="s">
        <v>265</v>
      </c>
    </row>
    <row r="275" spans="2:3" ht="12.75" x14ac:dyDescent="0.2">
      <c r="B275" s="10">
        <v>647</v>
      </c>
      <c r="C275" s="5" t="s">
        <v>266</v>
      </c>
    </row>
    <row r="276" spans="2:3" ht="12.75" x14ac:dyDescent="0.2">
      <c r="B276" s="10">
        <v>648</v>
      </c>
      <c r="C276" s="5" t="s">
        <v>267</v>
      </c>
    </row>
    <row r="277" spans="2:3" ht="12.75" x14ac:dyDescent="0.2">
      <c r="B277" s="9">
        <v>65</v>
      </c>
      <c r="C277" s="2" t="s">
        <v>268</v>
      </c>
    </row>
    <row r="278" spans="2:3" ht="12.75" x14ac:dyDescent="0.2">
      <c r="B278" s="10">
        <v>651</v>
      </c>
      <c r="C278" s="5" t="s">
        <v>269</v>
      </c>
    </row>
    <row r="279" spans="2:3" ht="12.75" x14ac:dyDescent="0.2">
      <c r="B279" s="10">
        <v>653</v>
      </c>
      <c r="C279" s="5" t="s">
        <v>270</v>
      </c>
    </row>
    <row r="280" spans="2:3" ht="12.75" x14ac:dyDescent="0.2">
      <c r="B280" s="10">
        <v>654</v>
      </c>
      <c r="C280" s="5" t="s">
        <v>271</v>
      </c>
    </row>
    <row r="281" spans="2:3" ht="12.75" x14ac:dyDescent="0.2">
      <c r="B281" s="10">
        <v>655</v>
      </c>
      <c r="C281" s="5" t="s">
        <v>272</v>
      </c>
    </row>
    <row r="282" spans="2:3" ht="12.75" x14ac:dyDescent="0.2">
      <c r="B282" s="10">
        <v>656</v>
      </c>
      <c r="C282" s="5" t="s">
        <v>273</v>
      </c>
    </row>
    <row r="283" spans="2:3" ht="12.75" x14ac:dyDescent="0.2">
      <c r="B283" s="10">
        <v>658</v>
      </c>
      <c r="C283" s="5" t="s">
        <v>274</v>
      </c>
    </row>
    <row r="284" spans="2:3" ht="12.75" x14ac:dyDescent="0.2">
      <c r="B284" s="9">
        <v>66</v>
      </c>
      <c r="C284" s="2" t="s">
        <v>275</v>
      </c>
    </row>
    <row r="285" spans="2:3" ht="12.75" x14ac:dyDescent="0.2">
      <c r="B285" s="10">
        <v>661</v>
      </c>
      <c r="C285" s="5" t="s">
        <v>276</v>
      </c>
    </row>
    <row r="286" spans="2:3" ht="12.75" x14ac:dyDescent="0.2">
      <c r="B286" s="10">
        <v>664</v>
      </c>
      <c r="C286" s="5" t="s">
        <v>277</v>
      </c>
    </row>
    <row r="287" spans="2:3" ht="12.75" x14ac:dyDescent="0.2">
      <c r="B287" s="10">
        <v>665</v>
      </c>
      <c r="C287" s="5" t="s">
        <v>278</v>
      </c>
    </row>
    <row r="288" spans="2:3" ht="12.75" x14ac:dyDescent="0.2">
      <c r="B288" s="10">
        <v>666</v>
      </c>
      <c r="C288" s="5" t="s">
        <v>279</v>
      </c>
    </row>
    <row r="289" spans="2:3" ht="12.75" x14ac:dyDescent="0.2">
      <c r="B289" s="10">
        <v>667</v>
      </c>
      <c r="C289" s="5" t="s">
        <v>280</v>
      </c>
    </row>
    <row r="290" spans="2:3" ht="12.75" x14ac:dyDescent="0.2">
      <c r="B290" s="10">
        <v>668</v>
      </c>
      <c r="C290" s="5" t="s">
        <v>281</v>
      </c>
    </row>
    <row r="291" spans="2:3" ht="12.75" x14ac:dyDescent="0.2">
      <c r="B291" s="9">
        <v>67</v>
      </c>
      <c r="C291" s="2" t="s">
        <v>282</v>
      </c>
    </row>
    <row r="292" spans="2:3" ht="12.75" x14ac:dyDescent="0.2">
      <c r="B292" s="10">
        <v>671</v>
      </c>
      <c r="C292" s="5" t="s">
        <v>283</v>
      </c>
    </row>
    <row r="293" spans="2:3" ht="12.75" x14ac:dyDescent="0.2">
      <c r="B293" s="10">
        <v>672</v>
      </c>
      <c r="C293" s="5" t="s">
        <v>284</v>
      </c>
    </row>
    <row r="294" spans="2:3" ht="12.75" x14ac:dyDescent="0.2">
      <c r="B294" s="10">
        <v>674</v>
      </c>
      <c r="C294" s="5" t="s">
        <v>285</v>
      </c>
    </row>
    <row r="295" spans="2:3" ht="12.75" x14ac:dyDescent="0.2">
      <c r="B295" s="10">
        <v>675</v>
      </c>
      <c r="C295" s="5" t="s">
        <v>286</v>
      </c>
    </row>
    <row r="296" spans="2:3" ht="12.75" x14ac:dyDescent="0.2">
      <c r="B296" s="10">
        <v>678</v>
      </c>
      <c r="C296" s="5" t="s">
        <v>289</v>
      </c>
    </row>
    <row r="297" spans="2:3" ht="12.75" x14ac:dyDescent="0.2">
      <c r="B297" s="9">
        <v>68</v>
      </c>
      <c r="C297" s="2" t="s">
        <v>290</v>
      </c>
    </row>
    <row r="298" spans="2:3" ht="12.75" x14ac:dyDescent="0.2">
      <c r="B298" s="10">
        <v>681</v>
      </c>
      <c r="C298" s="5" t="s">
        <v>291</v>
      </c>
    </row>
    <row r="299" spans="2:3" ht="12.75" x14ac:dyDescent="0.2">
      <c r="B299" s="10">
        <v>686</v>
      </c>
      <c r="C299" s="5" t="s">
        <v>292</v>
      </c>
    </row>
    <row r="300" spans="2:3" ht="12.75" x14ac:dyDescent="0.2">
      <c r="B300" s="10">
        <v>687</v>
      </c>
      <c r="C300" s="5" t="s">
        <v>293</v>
      </c>
    </row>
    <row r="301" spans="2:3" ht="12.75" x14ac:dyDescent="0.2">
      <c r="B301" s="9">
        <v>69</v>
      </c>
      <c r="C301" s="2" t="s">
        <v>294</v>
      </c>
    </row>
    <row r="302" spans="2:3" ht="12.75" x14ac:dyDescent="0.2">
      <c r="B302" s="10">
        <v>691</v>
      </c>
      <c r="C302" s="5" t="s">
        <v>41</v>
      </c>
    </row>
    <row r="303" spans="2:3" ht="12.75" x14ac:dyDescent="0.2">
      <c r="B303" s="10">
        <v>695</v>
      </c>
      <c r="C303" s="5" t="s">
        <v>295</v>
      </c>
    </row>
    <row r="304" spans="2:3" ht="12.75" x14ac:dyDescent="0.2">
      <c r="B304" s="10">
        <v>696</v>
      </c>
      <c r="C304" s="5" t="s">
        <v>296</v>
      </c>
    </row>
    <row r="305" spans="2:3" ht="12.75" x14ac:dyDescent="0.2">
      <c r="B305" s="10">
        <v>698</v>
      </c>
      <c r="C305" s="5" t="s">
        <v>297</v>
      </c>
    </row>
    <row r="306" spans="2:3" ht="12.75" x14ac:dyDescent="0.2">
      <c r="B306" s="10">
        <v>699</v>
      </c>
      <c r="C306" s="5" t="s">
        <v>298</v>
      </c>
    </row>
    <row r="307" spans="2:3" ht="12.75" x14ac:dyDescent="0.2">
      <c r="B307" s="9">
        <v>70</v>
      </c>
      <c r="C307" s="2" t="s">
        <v>299</v>
      </c>
    </row>
    <row r="308" spans="2:3" ht="12.75" x14ac:dyDescent="0.2">
      <c r="B308" s="10">
        <v>701</v>
      </c>
      <c r="C308" s="5" t="s">
        <v>300</v>
      </c>
    </row>
    <row r="309" spans="2:3" ht="12.75" x14ac:dyDescent="0.2">
      <c r="B309" s="10">
        <v>702</v>
      </c>
      <c r="C309" s="5" t="s">
        <v>301</v>
      </c>
    </row>
    <row r="310" spans="2:3" ht="12.75" x14ac:dyDescent="0.2">
      <c r="B310" s="10">
        <v>703</v>
      </c>
      <c r="C310" s="5" t="s">
        <v>302</v>
      </c>
    </row>
    <row r="311" spans="2:3" ht="12.75" x14ac:dyDescent="0.2">
      <c r="B311" s="10">
        <v>704</v>
      </c>
      <c r="C311" s="5" t="s">
        <v>303</v>
      </c>
    </row>
    <row r="312" spans="2:3" ht="12.75" x14ac:dyDescent="0.2">
      <c r="B312" s="10">
        <v>705</v>
      </c>
      <c r="C312" s="5" t="s">
        <v>304</v>
      </c>
    </row>
    <row r="313" spans="2:3" ht="12.75" x14ac:dyDescent="0.2">
      <c r="B313" s="10">
        <v>706</v>
      </c>
      <c r="C313" s="5" t="s">
        <v>305</v>
      </c>
    </row>
    <row r="314" spans="2:3" ht="12.75" x14ac:dyDescent="0.2">
      <c r="B314" s="10">
        <v>707</v>
      </c>
      <c r="C314" s="5" t="s">
        <v>306</v>
      </c>
    </row>
    <row r="315" spans="2:3" ht="12.75" x14ac:dyDescent="0.2">
      <c r="B315" s="10">
        <v>708</v>
      </c>
      <c r="C315" s="5" t="s">
        <v>307</v>
      </c>
    </row>
    <row r="316" spans="2:3" ht="12.75" x14ac:dyDescent="0.2">
      <c r="B316" s="10">
        <v>709</v>
      </c>
      <c r="C316" s="5" t="s">
        <v>308</v>
      </c>
    </row>
    <row r="317" spans="2:3" ht="12.75" x14ac:dyDescent="0.2">
      <c r="B317" s="9">
        <v>71</v>
      </c>
      <c r="C317" s="2" t="s">
        <v>309</v>
      </c>
    </row>
    <row r="318" spans="2:3" ht="12.75" x14ac:dyDescent="0.2">
      <c r="B318" s="10">
        <v>713</v>
      </c>
      <c r="C318" s="5" t="s">
        <v>310</v>
      </c>
    </row>
    <row r="319" spans="2:3" ht="12.75" x14ac:dyDescent="0.2">
      <c r="B319" s="9">
        <v>72</v>
      </c>
      <c r="C319" s="2" t="s">
        <v>311</v>
      </c>
    </row>
    <row r="320" spans="2:3" ht="12.75" x14ac:dyDescent="0.2">
      <c r="B320" s="10">
        <v>721</v>
      </c>
      <c r="C320" s="5" t="s">
        <v>287</v>
      </c>
    </row>
    <row r="321" spans="2:3" ht="12.75" x14ac:dyDescent="0.2">
      <c r="B321" s="10">
        <v>722</v>
      </c>
      <c r="C321" s="5" t="s">
        <v>288</v>
      </c>
    </row>
    <row r="322" spans="2:3" ht="12.75" x14ac:dyDescent="0.2">
      <c r="B322" s="9">
        <v>74</v>
      </c>
      <c r="C322" s="2" t="s">
        <v>312</v>
      </c>
    </row>
    <row r="323" spans="2:3" ht="12.75" x14ac:dyDescent="0.2">
      <c r="B323" s="9">
        <v>75</v>
      </c>
      <c r="C323" s="2" t="s">
        <v>313</v>
      </c>
    </row>
    <row r="324" spans="2:3" ht="12.75" x14ac:dyDescent="0.2">
      <c r="B324" s="10">
        <v>751</v>
      </c>
      <c r="C324" s="5" t="s">
        <v>269</v>
      </c>
    </row>
    <row r="325" spans="2:3" ht="12.75" x14ac:dyDescent="0.2">
      <c r="B325" s="10">
        <v>752</v>
      </c>
      <c r="C325" s="5" t="s">
        <v>314</v>
      </c>
    </row>
    <row r="326" spans="2:3" ht="12.75" x14ac:dyDescent="0.2">
      <c r="B326" s="10">
        <v>753</v>
      </c>
      <c r="C326" s="5" t="s">
        <v>315</v>
      </c>
    </row>
    <row r="327" spans="2:3" ht="12.75" x14ac:dyDescent="0.2">
      <c r="B327" s="10">
        <v>754</v>
      </c>
      <c r="C327" s="5" t="s">
        <v>316</v>
      </c>
    </row>
    <row r="328" spans="2:3" ht="12.75" x14ac:dyDescent="0.2">
      <c r="B328" s="10">
        <v>755</v>
      </c>
      <c r="C328" s="5" t="s">
        <v>272</v>
      </c>
    </row>
    <row r="329" spans="2:3" ht="12.75" x14ac:dyDescent="0.2">
      <c r="B329" s="10">
        <v>756</v>
      </c>
      <c r="C329" s="5" t="s">
        <v>317</v>
      </c>
    </row>
    <row r="330" spans="2:3" ht="12.75" x14ac:dyDescent="0.2">
      <c r="B330" s="10">
        <v>758</v>
      </c>
      <c r="C330" s="5" t="s">
        <v>318</v>
      </c>
    </row>
    <row r="331" spans="2:3" ht="12.75" x14ac:dyDescent="0.2">
      <c r="B331" s="9">
        <v>76</v>
      </c>
      <c r="C331" s="2" t="s">
        <v>319</v>
      </c>
    </row>
    <row r="332" spans="2:3" ht="12.75" x14ac:dyDescent="0.2">
      <c r="B332" s="10">
        <v>761</v>
      </c>
      <c r="C332" s="5" t="s">
        <v>320</v>
      </c>
    </row>
    <row r="333" spans="2:3" ht="12.75" x14ac:dyDescent="0.2">
      <c r="B333" s="10">
        <v>762</v>
      </c>
      <c r="C333" s="5" t="s">
        <v>321</v>
      </c>
    </row>
    <row r="334" spans="2:3" ht="12.75" x14ac:dyDescent="0.2">
      <c r="B334" s="10">
        <v>763</v>
      </c>
      <c r="C334" s="5" t="s">
        <v>322</v>
      </c>
    </row>
    <row r="335" spans="2:3" ht="12.75" x14ac:dyDescent="0.2">
      <c r="B335" s="10">
        <v>764</v>
      </c>
      <c r="C335" s="5" t="s">
        <v>323</v>
      </c>
    </row>
    <row r="336" spans="2:3" ht="12.75" x14ac:dyDescent="0.2">
      <c r="B336" s="10">
        <v>765</v>
      </c>
      <c r="C336" s="5" t="s">
        <v>324</v>
      </c>
    </row>
    <row r="337" spans="2:3" ht="12.75" x14ac:dyDescent="0.2">
      <c r="B337" s="10">
        <v>766</v>
      </c>
      <c r="C337" s="5" t="s">
        <v>325</v>
      </c>
    </row>
    <row r="338" spans="2:3" ht="12.75" x14ac:dyDescent="0.2">
      <c r="B338" s="10">
        <v>767</v>
      </c>
      <c r="C338" s="5" t="s">
        <v>326</v>
      </c>
    </row>
    <row r="339" spans="2:3" ht="12.75" x14ac:dyDescent="0.2">
      <c r="B339" s="10">
        <v>768</v>
      </c>
      <c r="C339" s="5" t="s">
        <v>327</v>
      </c>
    </row>
    <row r="340" spans="2:3" ht="12.75" x14ac:dyDescent="0.2">
      <c r="B340" s="9">
        <v>77</v>
      </c>
      <c r="C340" s="2" t="s">
        <v>328</v>
      </c>
    </row>
    <row r="341" spans="2:3" ht="12.75" x14ac:dyDescent="0.2">
      <c r="B341" s="10">
        <v>771</v>
      </c>
      <c r="C341" s="5" t="s">
        <v>329</v>
      </c>
    </row>
    <row r="342" spans="2:3" ht="12.75" x14ac:dyDescent="0.2">
      <c r="B342" s="10">
        <v>772</v>
      </c>
      <c r="C342" s="5" t="s">
        <v>330</v>
      </c>
    </row>
    <row r="343" spans="2:3" ht="12.75" x14ac:dyDescent="0.2">
      <c r="B343" s="10">
        <v>774</v>
      </c>
      <c r="C343" s="5" t="s">
        <v>285</v>
      </c>
    </row>
    <row r="344" spans="2:3" ht="12.75" x14ac:dyDescent="0.2">
      <c r="B344" s="10">
        <v>775</v>
      </c>
      <c r="C344" s="5" t="s">
        <v>331</v>
      </c>
    </row>
    <row r="345" spans="2:3" ht="12.75" x14ac:dyDescent="0.2">
      <c r="B345" s="10">
        <v>777</v>
      </c>
      <c r="C345" s="5" t="s">
        <v>332</v>
      </c>
    </row>
    <row r="346" spans="2:3" ht="12.75" x14ac:dyDescent="0.2">
      <c r="B346" s="10">
        <v>778</v>
      </c>
      <c r="C346" s="5" t="s">
        <v>333</v>
      </c>
    </row>
    <row r="347" spans="2:3" ht="12.75" x14ac:dyDescent="0.2">
      <c r="B347" s="9">
        <v>78</v>
      </c>
      <c r="C347" s="2" t="s">
        <v>334</v>
      </c>
    </row>
    <row r="348" spans="2:3" ht="12.75" x14ac:dyDescent="0.2">
      <c r="B348" s="10">
        <v>781</v>
      </c>
      <c r="C348" s="5" t="s">
        <v>335</v>
      </c>
    </row>
    <row r="349" spans="2:3" ht="12.75" x14ac:dyDescent="0.2">
      <c r="B349" s="10">
        <v>786</v>
      </c>
      <c r="C349" s="5" t="s">
        <v>336</v>
      </c>
    </row>
    <row r="350" spans="2:3" ht="12.75" x14ac:dyDescent="0.2">
      <c r="B350" s="10">
        <v>787</v>
      </c>
      <c r="C350" s="5" t="s">
        <v>337</v>
      </c>
    </row>
    <row r="351" spans="2:3" ht="12.75" x14ac:dyDescent="0.2">
      <c r="B351" s="9">
        <v>79</v>
      </c>
      <c r="C351" s="2" t="s">
        <v>338</v>
      </c>
    </row>
    <row r="352" spans="2:3" ht="12.75" x14ac:dyDescent="0.2">
      <c r="B352" s="10">
        <v>791</v>
      </c>
      <c r="C352" s="5" t="s">
        <v>339</v>
      </c>
    </row>
    <row r="353" spans="2:3" ht="12.75" x14ac:dyDescent="0.2">
      <c r="B353" s="10">
        <v>796</v>
      </c>
      <c r="C353" s="5" t="s">
        <v>340</v>
      </c>
    </row>
    <row r="354" spans="2:3" ht="12.75" x14ac:dyDescent="0.2">
      <c r="B354" s="10">
        <v>797</v>
      </c>
      <c r="C354" s="5" t="s">
        <v>341</v>
      </c>
    </row>
    <row r="366" spans="2:3" ht="15.75" customHeight="1" x14ac:dyDescent="0.2">
      <c r="C366" s="15">
        <f>TIME(C364,D364,E364)</f>
        <v>0</v>
      </c>
    </row>
  </sheetData>
  <dataValidations count="1">
    <dataValidation type="list" allowBlank="1" showInputMessage="1" showErrorMessage="1" sqref="F4">
      <formula1>$B$3:$B$354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249977111117893"/>
  </sheetPr>
  <dimension ref="A1:I60"/>
  <sheetViews>
    <sheetView tabSelected="1" workbookViewId="0">
      <selection activeCell="C7" sqref="C7"/>
    </sheetView>
  </sheetViews>
  <sheetFormatPr defaultRowHeight="18" x14ac:dyDescent="0.4"/>
  <cols>
    <col min="1" max="1" width="16.42578125" style="7" customWidth="1"/>
    <col min="2" max="2" width="9.140625" style="17" customWidth="1"/>
    <col min="3" max="3" width="40.28515625" style="16" customWidth="1"/>
    <col min="4" max="4" width="77.7109375" style="16" customWidth="1"/>
    <col min="5" max="5" width="15.85546875" style="16" customWidth="1"/>
    <col min="6" max="6" width="78.85546875" style="22" customWidth="1"/>
    <col min="9" max="9" width="18.140625" style="35" customWidth="1"/>
  </cols>
  <sheetData>
    <row r="1" spans="2:9" s="7" customFormat="1" ht="42" customHeight="1" x14ac:dyDescent="0.4">
      <c r="I1" s="35" t="s">
        <v>522</v>
      </c>
    </row>
    <row r="2" spans="2:9" x14ac:dyDescent="0.4">
      <c r="B2" s="21" t="s">
        <v>351</v>
      </c>
      <c r="C2" s="21" t="s">
        <v>350</v>
      </c>
      <c r="D2" s="21" t="s">
        <v>352</v>
      </c>
      <c r="E2" s="21" t="s">
        <v>518</v>
      </c>
      <c r="F2" s="21" t="s">
        <v>519</v>
      </c>
      <c r="I2" s="37"/>
    </row>
    <row r="3" spans="2:9" ht="54.75" customHeight="1" x14ac:dyDescent="0.2">
      <c r="B3" s="18">
        <v>213500</v>
      </c>
      <c r="C3" s="19" t="s">
        <v>358</v>
      </c>
      <c r="D3" s="16" t="s">
        <v>353</v>
      </c>
      <c r="E3" s="16" t="s">
        <v>520</v>
      </c>
      <c r="F3" s="22" t="str">
        <f>CONCATENATE(Table3[[#This Row],[RUBRIQUES]],Table3[[#This Row],[EXPLICATION]],Table3[[#This Row],[types]])</f>
        <v>Travaux/ aménagementTravaux derénovation:Plomberie,electricité,peinture,sol, (papier peint, carrelage,….,frigo)(à utiliser pour plus dela valeur du SMIG)charge</v>
      </c>
      <c r="I3" s="28"/>
    </row>
    <row r="4" spans="2:9" ht="36" x14ac:dyDescent="0.2">
      <c r="B4" s="17">
        <v>218200</v>
      </c>
      <c r="C4" s="16" t="s">
        <v>354</v>
      </c>
      <c r="D4" s="16" t="s">
        <v>355</v>
      </c>
      <c r="E4" s="16" t="s">
        <v>520</v>
      </c>
      <c r="F4" s="22" t="str">
        <f>CONCATENATE(Table3[[#This Row],[RUBRIQUES]],Table3[[#This Row],[EXPLICATION]],Table3[[#This Row],[types]])</f>
        <v xml:space="preserve"> Matériel de transportAchat voiture, tracteur, camionnette, moto, bicyclette…(à utiliser pour plus de la valeur SMIG)charge</v>
      </c>
      <c r="I4" s="28"/>
    </row>
    <row r="5" spans="2:9" ht="36" x14ac:dyDescent="0.2">
      <c r="B5" s="17">
        <v>218300</v>
      </c>
      <c r="C5" s="16" t="s">
        <v>356</v>
      </c>
      <c r="D5" s="16" t="s">
        <v>357</v>
      </c>
      <c r="E5" s="16" t="s">
        <v>520</v>
      </c>
      <c r="F5" s="22" t="str">
        <f>CONCATENATE(Table3[[#This Row],[RUBRIQUES]],Table3[[#This Row],[EXPLICATION]],Table3[[#This Row],[types]])</f>
        <v>Matériel de bureau/ informatiquesOrdinateur, photocopie, table de bureau, (à utiliser pour plus dela valeur du SMIG)charge</v>
      </c>
      <c r="I5" s="28"/>
    </row>
    <row r="6" spans="2:9" x14ac:dyDescent="0.2">
      <c r="B6" s="17">
        <v>218400</v>
      </c>
      <c r="C6" s="16" t="s">
        <v>359</v>
      </c>
      <c r="D6" s="16" t="s">
        <v>360</v>
      </c>
      <c r="E6" s="16" t="s">
        <v>520</v>
      </c>
      <c r="F6" s="22" t="str">
        <f>CONCATENATE(Table3[[#This Row],[RUBRIQUES]],Table3[[#This Row],[EXPLICATION]],Table3[[#This Row],[types]])</f>
        <v>Amortissement des biensDéposer une somme en vue de remplacer un bien après usagecharge</v>
      </c>
      <c r="I6" s="28"/>
    </row>
    <row r="7" spans="2:9" x14ac:dyDescent="0.2">
      <c r="B7" s="17">
        <v>421000</v>
      </c>
      <c r="C7" s="16" t="s">
        <v>361</v>
      </c>
      <c r="D7" s="16" t="s">
        <v>362</v>
      </c>
      <c r="E7" s="16" t="s">
        <v>520</v>
      </c>
      <c r="F7" s="22" t="str">
        <f>CONCATENATE(Table3[[#This Row],[RUBRIQUES]],Table3[[#This Row],[EXPLICATION]],Table3[[#This Row],[types]])</f>
        <v>Personnel de serviceChauffeur, gardien, Jardinier, professeurscharge</v>
      </c>
      <c r="I7" s="28"/>
    </row>
    <row r="8" spans="2:9" x14ac:dyDescent="0.2">
      <c r="B8" s="17">
        <v>471000</v>
      </c>
      <c r="C8" s="16" t="s">
        <v>363</v>
      </c>
      <c r="D8" s="16" t="s">
        <v>364</v>
      </c>
      <c r="E8" s="16" t="s">
        <v>520</v>
      </c>
      <c r="F8" s="22" t="str">
        <f>CONCATENATE(Table3[[#This Row],[RUBRIQUES]],Table3[[#This Row],[EXPLICATION]],Table3[[#This Row],[types]])</f>
        <v>compte en attente / dépôt dans le tempsEn vue pour acheter quelque chosecharge</v>
      </c>
      <c r="I8" s="28"/>
    </row>
    <row r="9" spans="2:9" s="7" customFormat="1" x14ac:dyDescent="0.2">
      <c r="B9" s="17">
        <v>512000</v>
      </c>
      <c r="C9" s="16" t="s">
        <v>458</v>
      </c>
      <c r="D9" s="16" t="s">
        <v>514</v>
      </c>
      <c r="E9" s="16" t="s">
        <v>520</v>
      </c>
      <c r="F9" s="22" t="str">
        <f>CONCATENATE(Table3[[#This Row],[RUBRIQUES]],Table3[[#This Row],[EXPLICATION]],Table3[[#This Row],[types]])</f>
        <v>BanqueArgent en Banquecharge</v>
      </c>
      <c r="I9" s="28"/>
    </row>
    <row r="10" spans="2:9" x14ac:dyDescent="0.2">
      <c r="B10" s="17">
        <v>530000</v>
      </c>
      <c r="C10" s="16" t="s">
        <v>365</v>
      </c>
      <c r="D10" s="16" t="s">
        <v>366</v>
      </c>
      <c r="E10" s="16" t="s">
        <v>520</v>
      </c>
      <c r="F10" s="22" t="str">
        <f>CONCATENATE(Table3[[#This Row],[RUBRIQUES]],Table3[[#This Row],[EXPLICATION]],Table3[[#This Row],[types]])</f>
        <v>CaisseArgent en espècecharge</v>
      </c>
      <c r="I10" s="28"/>
    </row>
    <row r="11" spans="2:9" x14ac:dyDescent="0.2">
      <c r="B11" s="17">
        <v>602100</v>
      </c>
      <c r="C11" s="16" t="s">
        <v>367</v>
      </c>
      <c r="D11" s="16" t="s">
        <v>368</v>
      </c>
      <c r="E11" s="16" t="s">
        <v>520</v>
      </c>
      <c r="F11" s="22" t="str">
        <f>CONCATENATE(Table3[[#This Row],[RUBRIQUES]],Table3[[#This Row],[EXPLICATION]],Table3[[#This Row],[types]])</f>
        <v>Budget communautairePour la province seulement (Subsides pour les communautés)charge</v>
      </c>
      <c r="I11" s="28"/>
    </row>
    <row r="12" spans="2:9" x14ac:dyDescent="0.2">
      <c r="B12" s="17">
        <v>602110</v>
      </c>
      <c r="C12" s="16" t="s">
        <v>369</v>
      </c>
      <c r="D12" s="16" t="s">
        <v>370</v>
      </c>
      <c r="E12" s="16" t="s">
        <v>520</v>
      </c>
      <c r="F12" s="22" t="str">
        <f>CONCATENATE(Table3[[#This Row],[RUBRIQUES]],Table3[[#This Row],[EXPLICATION]],Table3[[#This Row],[types]])</f>
        <v>ElevageLapin, poule, bœufs, chat, chien,…( Abri,Alimentation,soins et vaccination)charge</v>
      </c>
      <c r="I12" s="28"/>
    </row>
    <row r="13" spans="2:9" x14ac:dyDescent="0.2">
      <c r="B13" s="17">
        <v>602120</v>
      </c>
      <c r="C13" s="16" t="s">
        <v>371</v>
      </c>
      <c r="D13" s="16" t="s">
        <v>372</v>
      </c>
      <c r="E13" s="16" t="s">
        <v>520</v>
      </c>
      <c r="F13" s="22" t="str">
        <f>CONCATENATE(Table3[[#This Row],[RUBRIQUES]],Table3[[#This Row],[EXPLICATION]],Table3[[#This Row],[types]])</f>
        <v>JardinSemences, fumiers, Insecticides, outils,(bêche, pelle, faucilles, pelle,sécateurs,)charge</v>
      </c>
      <c r="I13" s="28"/>
    </row>
    <row r="14" spans="2:9" x14ac:dyDescent="0.2">
      <c r="B14" s="17">
        <v>606110</v>
      </c>
      <c r="C14" s="16" t="s">
        <v>373</v>
      </c>
      <c r="D14" s="16" t="s">
        <v>374</v>
      </c>
      <c r="E14" s="16" t="s">
        <v>520</v>
      </c>
      <c r="F14" s="22" t="str">
        <f>CONCATENATE(Table3[[#This Row],[RUBRIQUES]],Table3[[#This Row],[EXPLICATION]],Table3[[#This Row],[types]])</f>
        <v>Eau Facture de l'eaucharge</v>
      </c>
      <c r="I14" s="28"/>
    </row>
    <row r="15" spans="2:9" x14ac:dyDescent="0.2">
      <c r="B15" s="17">
        <v>606120</v>
      </c>
      <c r="C15" s="16" t="s">
        <v>375</v>
      </c>
      <c r="D15" s="16" t="s">
        <v>376</v>
      </c>
      <c r="E15" s="16" t="s">
        <v>520</v>
      </c>
      <c r="F15" s="22" t="str">
        <f>CONCATENATE(Table3[[#This Row],[RUBRIQUES]],Table3[[#This Row],[EXPLICATION]],Table3[[#This Row],[types]])</f>
        <v>Edf/ JIRAMA/ PANNEAU SOLAIREFacture d'electicitécharge</v>
      </c>
      <c r="I15" s="28"/>
    </row>
    <row r="16" spans="2:9" x14ac:dyDescent="0.2">
      <c r="B16" s="17">
        <v>606130</v>
      </c>
      <c r="C16" s="16" t="s">
        <v>378</v>
      </c>
      <c r="D16" s="16" t="s">
        <v>377</v>
      </c>
      <c r="E16" s="16" t="s">
        <v>520</v>
      </c>
      <c r="F16" s="22" t="str">
        <f>CONCATENATE(Table3[[#This Row],[RUBRIQUES]],Table3[[#This Row],[EXPLICATION]],Table3[[#This Row],[types]])</f>
        <v>Gaz/ combustibleFacture de gaz- cahrbon, bougie, allumettes, kitay menaka, briquetscharge</v>
      </c>
      <c r="I16" s="28"/>
    </row>
    <row r="17" spans="2:9" ht="36" x14ac:dyDescent="0.2">
      <c r="B17" s="17">
        <v>606320</v>
      </c>
      <c r="C17" s="16" t="s">
        <v>379</v>
      </c>
      <c r="D17" s="16" t="s">
        <v>380</v>
      </c>
      <c r="E17" s="16" t="s">
        <v>520</v>
      </c>
      <c r="F17" s="22" t="str">
        <f>CONCATENATE(Table3[[#This Row],[RUBRIQUES]],Table3[[#This Row],[EXPLICATION]],Table3[[#This Row],[types]])</f>
        <v>Pétit materiel. Tout ce qui n'est pas dans les autres rubriquesMarmites, bouilloires, four à micro-ondes, aspirateurs, poêles,casseroles,…(Pas plus de la moité de SMIG)charge</v>
      </c>
      <c r="I17" s="28"/>
    </row>
    <row r="18" spans="2:9" ht="54" x14ac:dyDescent="0.2">
      <c r="B18" s="17">
        <v>606360</v>
      </c>
      <c r="C18" s="16" t="s">
        <v>381</v>
      </c>
      <c r="D18" s="20" t="s">
        <v>382</v>
      </c>
      <c r="E18" s="16" t="s">
        <v>520</v>
      </c>
      <c r="F18" s="22" t="str">
        <f>CONCATENATE(Table3[[#This Row],[RUBRIQUES]],Table3[[#This Row],[EXPLICATION]],Table3[[#This Row],[types]])</f>
        <v>Culte/ messe/ droit d'EtoleSacristie: Linges litturgique(nappes,corporal, manutterge, purificatoires, pâle), calice, patène, burettes, croix, vin de messe, hostie, missel, bréviaire, livres des chants, abonnement "prions en eglise" ou "magnificat", aubes, étoles, chasublescharge</v>
      </c>
      <c r="I18" s="28"/>
    </row>
    <row r="19" spans="2:9" x14ac:dyDescent="0.2">
      <c r="B19" s="17">
        <v>606370</v>
      </c>
      <c r="C19" s="16" t="s">
        <v>383</v>
      </c>
      <c r="D19" s="16" t="s">
        <v>384</v>
      </c>
      <c r="E19" s="16" t="s">
        <v>520</v>
      </c>
      <c r="F19" s="22" t="str">
        <f>CONCATENATE(Table3[[#This Row],[RUBRIQUES]],Table3[[#This Row],[EXPLICATION]],Table3[[#This Row],[types]])</f>
        <v>CélebrationsVœux, Jubiles, Etapescharge</v>
      </c>
      <c r="I19" s="28"/>
    </row>
    <row r="20" spans="2:9" x14ac:dyDescent="0.2">
      <c r="B20" s="17">
        <v>606400</v>
      </c>
      <c r="C20" s="16" t="s">
        <v>349</v>
      </c>
      <c r="D20" s="16" t="s">
        <v>385</v>
      </c>
      <c r="E20" s="16" t="s">
        <v>520</v>
      </c>
      <c r="F20" s="22" t="str">
        <f>CONCATENATE(Table3[[#This Row],[RUBRIQUES]],Table3[[#This Row],[EXPLICATION]],Table3[[#This Row],[types]])</f>
        <v>Fournitures de bureauStylo, enveloppe, encre, cahiercharge</v>
      </c>
      <c r="I20" s="28"/>
    </row>
    <row r="21" spans="2:9" x14ac:dyDescent="0.2">
      <c r="B21" s="17">
        <v>606810</v>
      </c>
      <c r="C21" s="16" t="s">
        <v>386</v>
      </c>
      <c r="D21" s="16" t="s">
        <v>387</v>
      </c>
      <c r="E21" s="16" t="s">
        <v>520</v>
      </c>
      <c r="F21" s="22" t="str">
        <f>CONCATENATE(Table3[[#This Row],[RUBRIQUES]],Table3[[#This Row],[EXPLICATION]],Table3[[#This Row],[types]])</f>
        <v>Entretien maisonAmpoule, balai, brosse, serpillière, installation electrique,…charge</v>
      </c>
      <c r="I21" s="28"/>
    </row>
    <row r="22" spans="2:9" ht="54" x14ac:dyDescent="0.2">
      <c r="B22" s="17">
        <v>606820</v>
      </c>
      <c r="C22" s="16" t="s">
        <v>388</v>
      </c>
      <c r="D22" s="16" t="s">
        <v>389</v>
      </c>
      <c r="E22" s="16" t="s">
        <v>520</v>
      </c>
      <c r="F22" s="22" t="str">
        <f>CONCATENATE(Table3[[#This Row],[RUBRIQUES]],Table3[[#This Row],[EXPLICATION]],Table3[[#This Row],[types]])</f>
        <v>DroguerieServiette de toilette, serviette hygiéniques, papier hygieniques, dentifrices, brosse à dent, mouchoir, crème de toilette, déodorant, shempoing, gel douce, savons, produits de nettoyage, sac à poubelle,épongecharge</v>
      </c>
      <c r="I22" s="28"/>
    </row>
    <row r="23" spans="2:9" x14ac:dyDescent="0.2">
      <c r="B23" s="17">
        <v>606830</v>
      </c>
      <c r="C23" s="16" t="s">
        <v>390</v>
      </c>
      <c r="D23" s="16" t="s">
        <v>391</v>
      </c>
      <c r="E23" s="16" t="s">
        <v>520</v>
      </c>
      <c r="F23" s="22" t="str">
        <f>CONCATENATE(Table3[[#This Row],[RUBRIQUES]],Table3[[#This Row],[EXPLICATION]],Table3[[#This Row],[types]])</f>
        <v>AlimentationNourriture et besoincharge</v>
      </c>
      <c r="I23" s="28"/>
    </row>
    <row r="24" spans="2:9" ht="36" x14ac:dyDescent="0.2">
      <c r="B24" s="17">
        <v>606840</v>
      </c>
      <c r="C24" s="16" t="s">
        <v>393</v>
      </c>
      <c r="D24" s="16" t="s">
        <v>392</v>
      </c>
      <c r="E24" s="16" t="s">
        <v>520</v>
      </c>
      <c r="F24" s="22" t="str">
        <f>CONCATENATE(Table3[[#This Row],[RUBRIQUES]],Table3[[#This Row],[EXPLICATION]],Table3[[#This Row],[types]])</f>
        <v>Habillements/ merceie/ lingerieVêtements, chaussures, matériaux pour couture, (fil, ciseaux, dé à coudre, cutters, piques,aiguilles,épingles,rideaux, nappes)charge</v>
      </c>
      <c r="I24" s="28"/>
    </row>
    <row r="25" spans="2:9" ht="36" x14ac:dyDescent="0.2">
      <c r="B25" s="17">
        <v>606850</v>
      </c>
      <c r="C25" s="16" t="s">
        <v>394</v>
      </c>
      <c r="D25" s="16" t="s">
        <v>395</v>
      </c>
      <c r="E25" s="16" t="s">
        <v>520</v>
      </c>
      <c r="F25" s="22" t="str">
        <f>CONCATENATE(Table3[[#This Row],[RUBRIQUES]],Table3[[#This Row],[EXPLICATION]],Table3[[#This Row],[types]])</f>
        <v>Santé/ médecin/ pharmacieMédicaments, consultation, opération, hospitalisation, scanneer, radiogrephie, IRMcharge</v>
      </c>
      <c r="I25" s="28"/>
    </row>
    <row r="26" spans="2:9" x14ac:dyDescent="0.2">
      <c r="B26" s="17">
        <v>607100</v>
      </c>
      <c r="C26" s="16" t="s">
        <v>396</v>
      </c>
      <c r="D26" s="16" t="s">
        <v>397</v>
      </c>
      <c r="E26" s="16" t="s">
        <v>520</v>
      </c>
      <c r="F26" s="22" t="str">
        <f>CONCATENATE(Table3[[#This Row],[RUBRIQUES]],Table3[[#This Row],[EXPLICATION]],Table3[[#This Row],[types]])</f>
        <v>Bibliothèque/ LibrairieLivres, revues…charge</v>
      </c>
      <c r="I26" s="28"/>
    </row>
    <row r="27" spans="2:9" ht="36" x14ac:dyDescent="0.2">
      <c r="B27" s="17">
        <v>615200</v>
      </c>
      <c r="C27" s="16" t="s">
        <v>398</v>
      </c>
      <c r="D27" s="16" t="s">
        <v>399</v>
      </c>
      <c r="E27" s="16" t="s">
        <v>520</v>
      </c>
      <c r="F27" s="22" t="str">
        <f>CONCATENATE(Table3[[#This Row],[RUBRIQUES]],Table3[[#This Row],[EXPLICATION]],Table3[[#This Row],[types]])</f>
        <v>Achats des matériaux de maisonsMobilier, frigo, congélateur, cuisine, couverts,lave-linge, télévision, chaise, table, canapé,…(pas plus du SMIG)charge</v>
      </c>
      <c r="I27" s="28"/>
    </row>
    <row r="28" spans="2:9" x14ac:dyDescent="0.2">
      <c r="B28" s="17">
        <v>615500</v>
      </c>
      <c r="C28" s="16" t="s">
        <v>400</v>
      </c>
      <c r="D28" s="16" t="s">
        <v>401</v>
      </c>
      <c r="E28" s="16" t="s">
        <v>520</v>
      </c>
      <c r="F28" s="22" t="str">
        <f>CONCATENATE(Table3[[#This Row],[RUBRIQUES]],Table3[[#This Row],[EXPLICATION]],Table3[[#This Row],[types]])</f>
        <v>Entretient/ reparation de voitureDivers pièce, garage, pneu, huile, carburants, visite techniques.charge</v>
      </c>
      <c r="I28" s="28"/>
    </row>
    <row r="29" spans="2:9" x14ac:dyDescent="0.2">
      <c r="B29" s="17">
        <v>616100</v>
      </c>
      <c r="C29" s="16" t="s">
        <v>402</v>
      </c>
      <c r="D29" s="16" t="s">
        <v>403</v>
      </c>
      <c r="E29" s="16" t="s">
        <v>520</v>
      </c>
      <c r="F29" s="22" t="str">
        <f>CONCATENATE(Table3[[#This Row],[RUBRIQUES]],Table3[[#This Row],[EXPLICATION]],Table3[[#This Row],[types]])</f>
        <v>Assurance incendiesi la maison brûle, catastrophe naturellescharge</v>
      </c>
      <c r="I29" s="28"/>
    </row>
    <row r="30" spans="2:9" ht="36" x14ac:dyDescent="0.2">
      <c r="B30" s="17">
        <v>617200</v>
      </c>
      <c r="C30" s="16" t="s">
        <v>404</v>
      </c>
      <c r="D30" s="16" t="s">
        <v>405</v>
      </c>
      <c r="E30" s="16" t="s">
        <v>520</v>
      </c>
      <c r="F30" s="22" t="str">
        <f>CONCATENATE(Table3[[#This Row],[RUBRIQUES]],Table3[[#This Row],[EXPLICATION]],Table3[[#This Row],[types]])</f>
        <v>Culture/ formationEtudes, PPP? Auto-école, formations, cours, novices, postulantes, cotisation formatrices, cotisation CSMFM, Diocèsecharge</v>
      </c>
      <c r="I30" s="28"/>
    </row>
    <row r="31" spans="2:9" x14ac:dyDescent="0.2">
      <c r="B31" s="17">
        <v>618500</v>
      </c>
      <c r="C31" s="16" t="s">
        <v>406</v>
      </c>
      <c r="D31" s="16" t="s">
        <v>407</v>
      </c>
      <c r="E31" s="16" t="s">
        <v>520</v>
      </c>
      <c r="F31" s="22" t="str">
        <f>CONCATENATE(Table3[[#This Row],[RUBRIQUES]],Table3[[#This Row],[EXPLICATION]],Table3[[#This Row],[types]])</f>
        <v>Conférence/ RetraitePélérinage, retraite, recollectioncharge</v>
      </c>
      <c r="I31" s="28"/>
    </row>
    <row r="32" spans="2:9" x14ac:dyDescent="0.2">
      <c r="B32" s="17">
        <v>625100</v>
      </c>
      <c r="C32" s="16" t="s">
        <v>408</v>
      </c>
      <c r="D32" s="16" t="s">
        <v>409</v>
      </c>
      <c r="E32" s="16" t="s">
        <v>520</v>
      </c>
      <c r="F32" s="22" t="str">
        <f>CONCATENATE(Table3[[#This Row],[RUBRIQUES]],Table3[[#This Row],[EXPLICATION]],Table3[[#This Row],[types]])</f>
        <v>Frais de déplacementsBus, car, pousse pousse, carburants, ticket parking, taxi, taxi-broussecharge</v>
      </c>
      <c r="I32" s="28"/>
    </row>
    <row r="33" spans="2:9" x14ac:dyDescent="0.2">
      <c r="B33" s="17">
        <v>626200</v>
      </c>
      <c r="C33" s="16" t="s">
        <v>410</v>
      </c>
      <c r="D33" s="16" t="s">
        <v>411</v>
      </c>
      <c r="E33" s="16" t="s">
        <v>520</v>
      </c>
      <c r="F33" s="22" t="str">
        <f>CONCATENATE(Table3[[#This Row],[RUBRIQUES]],Table3[[#This Row],[EXPLICATION]],Table3[[#This Row],[types]])</f>
        <v>Frais postauxTimbres,recommdés, chronopost, DHLcharge</v>
      </c>
      <c r="I33" s="28"/>
    </row>
    <row r="34" spans="2:9" x14ac:dyDescent="0.2">
      <c r="B34" s="17">
        <v>626300</v>
      </c>
      <c r="C34" s="16" t="s">
        <v>412</v>
      </c>
      <c r="D34" s="16" t="s">
        <v>413</v>
      </c>
      <c r="E34" s="16" t="s">
        <v>520</v>
      </c>
      <c r="F34" s="22" t="str">
        <f>CONCATENATE(Table3[[#This Row],[RUBRIQUES]],Table3[[#This Row],[EXPLICATION]],Table3[[#This Row],[types]])</f>
        <v>Téléphone/ fax/ internettélephone, puce de téléphone, accessoires téléphonecharge</v>
      </c>
      <c r="I34" s="28"/>
    </row>
    <row r="35" spans="2:9" x14ac:dyDescent="0.2">
      <c r="B35" s="17">
        <v>627000</v>
      </c>
      <c r="C35" s="16" t="s">
        <v>414</v>
      </c>
      <c r="D35" s="16" t="s">
        <v>415</v>
      </c>
      <c r="E35" s="16" t="s">
        <v>520</v>
      </c>
      <c r="F35" s="22" t="str">
        <f>CONCATENATE(Table3[[#This Row],[RUBRIQUES]],Table3[[#This Row],[EXPLICATION]],Table3[[#This Row],[types]])</f>
        <v>Frais de tenu de compteFrais de tenu de compte de banque, Mvola, AirtelMoney, OrangeMoneycharge</v>
      </c>
      <c r="I35" s="28"/>
    </row>
    <row r="36" spans="2:9" x14ac:dyDescent="0.2">
      <c r="B36" s="17">
        <v>635120</v>
      </c>
      <c r="C36" s="16" t="s">
        <v>416</v>
      </c>
      <c r="D36" s="16" t="s">
        <v>417</v>
      </c>
      <c r="E36" s="16" t="s">
        <v>520</v>
      </c>
      <c r="F36" s="22" t="str">
        <f>CONCATENATE(Table3[[#This Row],[RUBRIQUES]],Table3[[#This Row],[EXPLICATION]],Table3[[#This Row],[types]])</f>
        <v>Impôts foncierImpôts sur la terre et la maison si on est propriétaire de la maisoncharge</v>
      </c>
      <c r="I36" s="28"/>
    </row>
    <row r="37" spans="2:9" s="7" customFormat="1" x14ac:dyDescent="0.2">
      <c r="B37" s="17">
        <v>635130</v>
      </c>
      <c r="C37" s="16" t="s">
        <v>420</v>
      </c>
      <c r="D37" s="16" t="s">
        <v>421</v>
      </c>
      <c r="E37" s="16" t="s">
        <v>520</v>
      </c>
      <c r="F37" s="22" t="str">
        <f>CONCATENATE(Table3[[#This Row],[RUBRIQUES]],Table3[[#This Row],[EXPLICATION]],Table3[[#This Row],[types]])</f>
        <v>Taxe Habitation(audiovisue)Taxes sue la maison et audiovisuels (TV internet-free)charge</v>
      </c>
      <c r="I37" s="28"/>
    </row>
    <row r="38" spans="2:9" x14ac:dyDescent="0.2">
      <c r="B38" s="17">
        <v>635430</v>
      </c>
      <c r="C38" s="16" t="s">
        <v>418</v>
      </c>
      <c r="D38" s="16" t="s">
        <v>419</v>
      </c>
      <c r="E38" s="16" t="s">
        <v>520</v>
      </c>
      <c r="F38" s="22" t="str">
        <f>CONCATENATE(Table3[[#This Row],[RUBRIQUES]],Table3[[#This Row],[EXPLICATION]],Table3[[#This Row],[types]])</f>
        <v>Timbres fiscaux/ DroitPour la carte de séjour, passeport, carte d'identiécharge</v>
      </c>
      <c r="I38" s="28"/>
    </row>
    <row r="39" spans="2:9" x14ac:dyDescent="0.2">
      <c r="B39" s="17">
        <v>635800</v>
      </c>
      <c r="C39" s="16" t="s">
        <v>422</v>
      </c>
      <c r="D39" s="16" t="s">
        <v>423</v>
      </c>
      <c r="E39" s="16" t="s">
        <v>520</v>
      </c>
      <c r="F39" s="22" t="str">
        <f>CONCATENATE(Table3[[#This Row],[RUBRIQUES]],Table3[[#This Row],[EXPLICATION]],Table3[[#This Row],[types]])</f>
        <v>papiers administratifsPhotos de cartes de séjour, actes de naissances, visascharge</v>
      </c>
      <c r="I39" s="28"/>
    </row>
    <row r="40" spans="2:9" x14ac:dyDescent="0.2">
      <c r="B40" s="17">
        <v>641300</v>
      </c>
      <c r="C40" s="16" t="s">
        <v>424</v>
      </c>
      <c r="D40" s="16" t="s">
        <v>425</v>
      </c>
      <c r="E40" s="16" t="s">
        <v>520</v>
      </c>
      <c r="F40" s="22" t="str">
        <f>CONCATENATE(Table3[[#This Row],[RUBRIQUES]],Table3[[#This Row],[EXPLICATION]],Table3[[#This Row],[types]])</f>
        <v>Prime de vacancesvacances sur place ou dans les autres payscharge</v>
      </c>
      <c r="I40" s="28"/>
    </row>
    <row r="41" spans="2:9" x14ac:dyDescent="0.2">
      <c r="B41" s="17">
        <v>645300</v>
      </c>
      <c r="C41" s="16" t="s">
        <v>426</v>
      </c>
      <c r="D41" s="16" t="s">
        <v>427</v>
      </c>
      <c r="E41" s="16" t="s">
        <v>520</v>
      </c>
      <c r="F41" s="22" t="str">
        <f>CONCATENATE(Table3[[#This Row],[RUBRIQUES]],Table3[[#This Row],[EXPLICATION]],Table3[[#This Row],[types]])</f>
        <v>FiombonanaCotisation de santé, compte fiombonana, BFV-Santécharge</v>
      </c>
      <c r="I41" s="28"/>
    </row>
    <row r="42" spans="2:9" x14ac:dyDescent="0.2">
      <c r="B42" s="17">
        <v>647400</v>
      </c>
      <c r="C42" s="16" t="s">
        <v>428</v>
      </c>
      <c r="D42" s="16" t="s">
        <v>429</v>
      </c>
      <c r="E42" s="16" t="s">
        <v>520</v>
      </c>
      <c r="F42" s="22" t="str">
        <f>CONCATENATE(Table3[[#This Row],[RUBRIQUES]],Table3[[#This Row],[EXPLICATION]],Table3[[#This Row],[types]])</f>
        <v>Solidarité vieillesse/ CNaPSCotisation pour la retraite, vieillessecharge</v>
      </c>
      <c r="I42" s="28"/>
    </row>
    <row r="43" spans="2:9" ht="36" x14ac:dyDescent="0.2">
      <c r="B43" s="17">
        <v>657311</v>
      </c>
      <c r="C43" s="16" t="s">
        <v>430</v>
      </c>
      <c r="D43" s="16" t="s">
        <v>431</v>
      </c>
      <c r="E43" s="16" t="s">
        <v>520</v>
      </c>
      <c r="F43" s="22" t="str">
        <f>CONCATENATE(Table3[[#This Row],[RUBRIQUES]],Table3[[#This Row],[EXPLICATION]],Table3[[#This Row],[types]])</f>
        <v>Solidarité Mœurs et coutumesDécès, Retournements des morts(exhumation), Sacrements, Jubilé, IRAY VATSY IRAY AINAcharge</v>
      </c>
      <c r="I43" s="28"/>
    </row>
    <row r="44" spans="2:9" x14ac:dyDescent="0.2">
      <c r="B44" s="17">
        <v>657312</v>
      </c>
      <c r="C44" s="16" t="s">
        <v>432</v>
      </c>
      <c r="D44" s="16" t="s">
        <v>433</v>
      </c>
      <c r="E44" s="16" t="s">
        <v>520</v>
      </c>
      <c r="F44" s="22" t="str">
        <f>CONCATENATE(Table3[[#This Row],[RUBRIQUES]],Table3[[#This Row],[EXPLICATION]],Table3[[#This Row],[types]])</f>
        <v>Solidarit2 GénéralatCotisation pour le géneralatcharge</v>
      </c>
      <c r="I44" s="28"/>
    </row>
    <row r="45" spans="2:9" ht="36" x14ac:dyDescent="0.2">
      <c r="B45" s="17">
        <v>657313</v>
      </c>
      <c r="C45" s="16" t="s">
        <v>434</v>
      </c>
      <c r="D45" s="16" t="s">
        <v>435</v>
      </c>
      <c r="E45" s="16" t="s">
        <v>520</v>
      </c>
      <c r="F45" s="22" t="str">
        <f>CONCATENATE(Table3[[#This Row],[RUBRIQUES]],Table3[[#This Row],[EXPLICATION]],Table3[[#This Row],[types]])</f>
        <v>Solidarité pour la pepinière de la vocation dans la congrégationCotisation pour les aspirantes et postulantescharge</v>
      </c>
      <c r="I45" s="28"/>
    </row>
    <row r="46" spans="2:9" x14ac:dyDescent="0.2">
      <c r="B46" s="17">
        <v>657314</v>
      </c>
      <c r="C46" s="16" t="s">
        <v>436</v>
      </c>
      <c r="D46" s="16" t="s">
        <v>437</v>
      </c>
      <c r="E46" s="16" t="s">
        <v>520</v>
      </c>
      <c r="F46" s="22" t="str">
        <f>CONCATENATE(Table3[[#This Row],[RUBRIQUES]],Table3[[#This Row],[EXPLICATION]],Table3[[#This Row],[types]])</f>
        <v>Supérieure Provincial et son conseilFonctionementcharge</v>
      </c>
      <c r="I46" s="28"/>
    </row>
    <row r="47" spans="2:9" x14ac:dyDescent="0.2">
      <c r="B47" s="17">
        <v>671200</v>
      </c>
      <c r="C47" s="16" t="s">
        <v>438</v>
      </c>
      <c r="E47" s="16" t="s">
        <v>520</v>
      </c>
      <c r="F47" s="22" t="str">
        <f>CONCATENATE(Table3[[#This Row],[RUBRIQUES]],Table3[[#This Row],[EXPLICATION]],Table3[[#This Row],[types]])</f>
        <v>Pénalité/ amandes/ majorationcharge</v>
      </c>
      <c r="I47" s="28"/>
    </row>
    <row r="48" spans="2:9" x14ac:dyDescent="0.2">
      <c r="B48" s="17">
        <v>671300</v>
      </c>
      <c r="C48" s="16" t="s">
        <v>439</v>
      </c>
      <c r="D48" s="16" t="s">
        <v>440</v>
      </c>
      <c r="E48" s="16" t="s">
        <v>520</v>
      </c>
      <c r="F48" s="22" t="str">
        <f>CONCATENATE(Table3[[#This Row],[RUBRIQUES]],Table3[[#This Row],[EXPLICATION]],Table3[[#This Row],[types]])</f>
        <v>Dons sortisCadeauxcharge</v>
      </c>
      <c r="I48" s="28"/>
    </row>
    <row r="49" spans="2:9" x14ac:dyDescent="0.2">
      <c r="B49" s="17">
        <v>706000</v>
      </c>
      <c r="C49" s="16" t="s">
        <v>441</v>
      </c>
      <c r="D49" s="16" t="s">
        <v>442</v>
      </c>
      <c r="E49" s="16" t="s">
        <v>521</v>
      </c>
      <c r="F49" s="22" t="str">
        <f>CONCATENATE(Table3[[#This Row],[RUBRIQUES]],Table3[[#This Row],[EXPLICATION]],Table3[[#This Row],[types]])</f>
        <v>Salaire/ indeminitéSalaires, indemnités…recette</v>
      </c>
      <c r="I49" s="28"/>
    </row>
    <row r="50" spans="2:9" ht="36" x14ac:dyDescent="0.2">
      <c r="B50" s="17">
        <v>706100</v>
      </c>
      <c r="C50" s="16" t="s">
        <v>443</v>
      </c>
      <c r="D50" s="16" t="s">
        <v>444</v>
      </c>
      <c r="E50" s="16" t="s">
        <v>521</v>
      </c>
      <c r="F50" s="22" t="str">
        <f>CONCATENATE(Table3[[#This Row],[RUBRIQUES]],Table3[[#This Row],[EXPLICATION]],Table3[[#This Row],[types]])</f>
        <v>Subsides des communautésReçues de la province pour les communautés et reçcues du Géneralat pour la provincerecette</v>
      </c>
      <c r="I50" s="28"/>
    </row>
    <row r="51" spans="2:9" x14ac:dyDescent="0.2">
      <c r="B51" s="17">
        <v>707200</v>
      </c>
      <c r="C51" s="16" t="s">
        <v>445</v>
      </c>
      <c r="E51" s="16" t="s">
        <v>521</v>
      </c>
      <c r="F51" s="22" t="str">
        <f>CONCATENATE(Table3[[#This Row],[RUBRIQUES]],Table3[[#This Row],[EXPLICATION]],Table3[[#This Row],[types]])</f>
        <v>Ventes des animauxrecette</v>
      </c>
      <c r="I51" s="28"/>
    </row>
    <row r="52" spans="2:9" x14ac:dyDescent="0.2">
      <c r="B52" s="17">
        <v>707300</v>
      </c>
      <c r="C52" s="16" t="s">
        <v>446</v>
      </c>
      <c r="D52" s="16" t="s">
        <v>447</v>
      </c>
      <c r="E52" s="16" t="s">
        <v>521</v>
      </c>
      <c r="F52" s="22" t="str">
        <f>CONCATENATE(Table3[[#This Row],[RUBRIQUES]],Table3[[#This Row],[EXPLICATION]],Table3[[#This Row],[types]])</f>
        <v>Vente de produits de l'exploitationVoanjo, tsaramaso, légumesrecette</v>
      </c>
      <c r="I52" s="28"/>
    </row>
    <row r="53" spans="2:9" x14ac:dyDescent="0.2">
      <c r="B53" s="17">
        <v>708000</v>
      </c>
      <c r="C53" s="16" t="s">
        <v>448</v>
      </c>
      <c r="D53" s="16" t="s">
        <v>449</v>
      </c>
      <c r="E53" s="16" t="s">
        <v>521</v>
      </c>
      <c r="F53" s="22" t="str">
        <f>CONCATENATE(Table3[[#This Row],[RUBRIQUES]],Table3[[#This Row],[EXPLICATION]],Table3[[#This Row],[types]])</f>
        <v>remboursements kilométriquesDe la part de la paroisse, Diocèse, organismesrecette</v>
      </c>
      <c r="I53" s="28"/>
    </row>
    <row r="54" spans="2:9" x14ac:dyDescent="0.2">
      <c r="B54" s="17">
        <v>754280</v>
      </c>
      <c r="C54" s="16" t="s">
        <v>450</v>
      </c>
      <c r="E54" s="16" t="s">
        <v>521</v>
      </c>
      <c r="F54" s="22" t="str">
        <f>CONCATENATE(Table3[[#This Row],[RUBRIQUES]],Table3[[#This Row],[EXPLICATION]],Table3[[#This Row],[types]])</f>
        <v>Quêtes/ célébrationrecette</v>
      </c>
      <c r="I54" s="28"/>
    </row>
    <row r="55" spans="2:9" s="7" customFormat="1" x14ac:dyDescent="0.2">
      <c r="B55" s="17">
        <v>754592</v>
      </c>
      <c r="C55" s="16" t="s">
        <v>454</v>
      </c>
      <c r="D55" s="16" t="s">
        <v>455</v>
      </c>
      <c r="E55" s="16" t="s">
        <v>521</v>
      </c>
      <c r="F55" s="22" t="str">
        <f>CONCATENATE(Table3[[#This Row],[RUBRIQUES]],Table3[[#This Row],[EXPLICATION]],Table3[[#This Row],[types]])</f>
        <v>DonsReçus des amis, familles, paroissiens,…recette</v>
      </c>
      <c r="I55" s="28"/>
    </row>
    <row r="56" spans="2:9" x14ac:dyDescent="0.2">
      <c r="B56" s="17">
        <v>757312</v>
      </c>
      <c r="C56" s="16" t="s">
        <v>451</v>
      </c>
      <c r="E56" s="16" t="s">
        <v>521</v>
      </c>
      <c r="F56" s="22" t="str">
        <f>CONCATENATE(Table3[[#This Row],[RUBRIQUES]],Table3[[#This Row],[EXPLICATION]],Table3[[#This Row],[types]])</f>
        <v>Solidarité généralatrecette</v>
      </c>
      <c r="I56" s="28"/>
    </row>
    <row r="57" spans="2:9" x14ac:dyDescent="0.2">
      <c r="B57" s="17">
        <v>757313</v>
      </c>
      <c r="C57" s="16" t="s">
        <v>453</v>
      </c>
      <c r="E57" s="16" t="s">
        <v>521</v>
      </c>
      <c r="F57" s="22" t="str">
        <f>CONCATENATE(Table3[[#This Row],[RUBRIQUES]],Table3[[#This Row],[EXPLICATION]],Table3[[#This Row],[types]])</f>
        <v>Solidarité formationrecette</v>
      </c>
      <c r="I57" s="28"/>
    </row>
    <row r="58" spans="2:9" x14ac:dyDescent="0.2">
      <c r="B58" s="17">
        <v>757314</v>
      </c>
      <c r="C58" s="16" t="s">
        <v>452</v>
      </c>
      <c r="E58" s="16" t="s">
        <v>521</v>
      </c>
      <c r="F58" s="22" t="str">
        <f>CONCATENATE(Table3[[#This Row],[RUBRIQUES]],Table3[[#This Row],[EXPLICATION]],Table3[[#This Row],[types]])</f>
        <v>Solidarité Conseil Provincialrecette</v>
      </c>
      <c r="I58" s="28"/>
    </row>
    <row r="59" spans="2:9" x14ac:dyDescent="0.2">
      <c r="B59" s="17">
        <v>757315</v>
      </c>
      <c r="C59" s="16" t="s">
        <v>456</v>
      </c>
      <c r="D59" s="16" t="s">
        <v>457</v>
      </c>
      <c r="E59" s="16" t="s">
        <v>521</v>
      </c>
      <c r="F59" s="22" t="str">
        <f>CONCATENATE(Table3[[#This Row],[RUBRIQUES]],Table3[[#This Row],[EXPLICATION]],Table3[[#This Row],[types]])</f>
        <v>ActivitésArt malagasy, coutures, ou autres œuvres, produits de fermes et exploitationrecette</v>
      </c>
      <c r="I59" s="28"/>
    </row>
    <row r="60" spans="2:9" x14ac:dyDescent="0.2">
      <c r="B60" s="17">
        <v>766000</v>
      </c>
      <c r="C60" s="16" t="s">
        <v>515</v>
      </c>
      <c r="D60" s="16" t="s">
        <v>459</v>
      </c>
      <c r="E60" s="16" t="s">
        <v>521</v>
      </c>
      <c r="F60" s="22" t="str">
        <f>CONCATENATE(Table3[[#This Row],[RUBRIQUES]],Table3[[#This Row],[EXPLICATION]],Table3[[#This Row],[types]])</f>
        <v>Interêt et gains (bancaire)Intérêt bancaire, Gains des changesrecette</v>
      </c>
      <c r="I60" s="2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 tint="0.39997558519241921"/>
  </sheetPr>
  <dimension ref="E6:U29"/>
  <sheetViews>
    <sheetView topLeftCell="B7" zoomScale="70" zoomScaleNormal="70" workbookViewId="0">
      <selection activeCell="G18" sqref="G18"/>
    </sheetView>
  </sheetViews>
  <sheetFormatPr defaultRowHeight="18" x14ac:dyDescent="0.4"/>
  <cols>
    <col min="1" max="2" width="9.140625" style="35"/>
    <col min="3" max="3" width="15.28515625" style="35" customWidth="1"/>
    <col min="4" max="4" width="12.7109375" style="35" customWidth="1"/>
    <col min="5" max="5" width="16.42578125" style="35" customWidth="1"/>
    <col min="6" max="6" width="22.42578125" style="35" customWidth="1"/>
    <col min="7" max="7" width="43.7109375" style="35" customWidth="1"/>
    <col min="8" max="8" width="43.140625" style="35" customWidth="1"/>
    <col min="9" max="9" width="25" style="35" customWidth="1"/>
    <col min="10" max="11" width="14.85546875" style="35" customWidth="1"/>
    <col min="12" max="12" width="20.42578125" style="35" customWidth="1"/>
    <col min="13" max="13" width="9.140625" style="35"/>
    <col min="14" max="14" width="19.5703125" style="35" customWidth="1"/>
    <col min="15" max="15" width="30.85546875" style="35" customWidth="1"/>
    <col min="16" max="16" width="34" style="35" customWidth="1"/>
    <col min="17" max="17" width="42.28515625" style="35" customWidth="1"/>
    <col min="18" max="18" width="27.5703125" style="35" customWidth="1"/>
    <col min="19" max="19" width="23.28515625" style="35" customWidth="1"/>
    <col min="20" max="20" width="20.7109375" style="35" customWidth="1"/>
    <col min="21" max="21" width="34.42578125" style="35" customWidth="1"/>
    <col min="22" max="35" width="9.140625" style="35"/>
    <col min="36" max="36" width="9.140625" style="35" customWidth="1"/>
    <col min="37" max="16384" width="9.140625" style="35"/>
  </cols>
  <sheetData>
    <row r="6" spans="5:21" ht="18.75" customHeight="1" x14ac:dyDescent="0.4"/>
    <row r="15" spans="5:21" x14ac:dyDescent="0.4">
      <c r="E15" s="40" t="s">
        <v>346</v>
      </c>
      <c r="F15" s="40" t="s">
        <v>516</v>
      </c>
      <c r="G15" s="40" t="s">
        <v>350</v>
      </c>
      <c r="H15" s="40" t="s">
        <v>347</v>
      </c>
      <c r="I15" s="40" t="s">
        <v>517</v>
      </c>
      <c r="J15" s="40" t="s">
        <v>342</v>
      </c>
      <c r="K15" s="40" t="s">
        <v>343</v>
      </c>
      <c r="L15" s="40" t="s">
        <v>348</v>
      </c>
      <c r="N15" s="40" t="s">
        <v>346</v>
      </c>
      <c r="O15" s="40" t="s">
        <v>516</v>
      </c>
      <c r="P15" s="40" t="s">
        <v>350</v>
      </c>
      <c r="Q15" s="40" t="s">
        <v>347</v>
      </c>
      <c r="R15" s="40" t="s">
        <v>517</v>
      </c>
      <c r="S15" s="40" t="s">
        <v>342</v>
      </c>
      <c r="T15" s="40" t="s">
        <v>343</v>
      </c>
      <c r="U15" s="40" t="s">
        <v>348</v>
      </c>
    </row>
    <row r="16" spans="5:21" x14ac:dyDescent="0.4">
      <c r="E16" s="39">
        <v>44928</v>
      </c>
      <c r="F16" s="38">
        <v>218200</v>
      </c>
      <c r="G16" s="41" t="s">
        <v>400</v>
      </c>
      <c r="H16" s="38"/>
      <c r="I16" s="38"/>
      <c r="J16" s="38"/>
      <c r="K16" s="38"/>
      <c r="L16" s="38"/>
      <c r="N16" s="39">
        <v>44928</v>
      </c>
      <c r="O16" s="38">
        <v>218200</v>
      </c>
      <c r="P16" s="41"/>
      <c r="Q16" s="38"/>
      <c r="R16" s="38"/>
      <c r="S16" s="38"/>
      <c r="T16" s="38"/>
      <c r="U16" s="38"/>
    </row>
    <row r="17" spans="5:21" x14ac:dyDescent="0.4">
      <c r="E17" s="39">
        <v>44930</v>
      </c>
      <c r="F17" s="38" t="s">
        <v>523</v>
      </c>
      <c r="G17" s="38" t="s">
        <v>422</v>
      </c>
      <c r="H17" s="38"/>
      <c r="I17" s="38"/>
      <c r="J17" s="38"/>
      <c r="K17" s="38"/>
      <c r="L17" s="38"/>
      <c r="N17" s="39">
        <v>44930</v>
      </c>
      <c r="O17" s="38" t="e">
        <f>VLOOKUP(Table43[[#This Row],[RUBRIQUES]],Table3[#All],0,FALSE)</f>
        <v>#N/A</v>
      </c>
      <c r="P17" s="41"/>
      <c r="Q17" s="38"/>
      <c r="R17" s="38"/>
      <c r="S17" s="38"/>
      <c r="T17" s="38"/>
      <c r="U17" s="38"/>
    </row>
    <row r="18" spans="5:21" x14ac:dyDescent="0.4">
      <c r="E18" s="39"/>
      <c r="F18" s="41"/>
      <c r="G18" s="41" t="s">
        <v>400</v>
      </c>
      <c r="H18" s="38"/>
      <c r="I18" s="38"/>
      <c r="J18" s="38"/>
      <c r="K18" s="38"/>
      <c r="L18" s="38"/>
      <c r="N18" s="39"/>
      <c r="O18" s="41"/>
      <c r="P18" s="41"/>
      <c r="Q18" s="38"/>
      <c r="R18" s="38"/>
      <c r="S18" s="38"/>
      <c r="T18" s="38"/>
      <c r="U18" s="38"/>
    </row>
    <row r="19" spans="5:21" x14ac:dyDescent="0.4">
      <c r="E19" s="39"/>
      <c r="F19" s="38"/>
      <c r="G19" s="41"/>
      <c r="H19" s="38"/>
      <c r="I19" s="38"/>
      <c r="J19" s="38"/>
      <c r="K19" s="38"/>
      <c r="L19" s="38"/>
      <c r="N19" s="39"/>
      <c r="O19" s="38"/>
      <c r="P19" s="38"/>
      <c r="Q19" s="38"/>
      <c r="R19" s="38"/>
      <c r="S19" s="38"/>
      <c r="T19" s="38"/>
      <c r="U19" s="38"/>
    </row>
    <row r="20" spans="5:21" x14ac:dyDescent="0.4">
      <c r="E20" s="39"/>
      <c r="F20" s="38"/>
      <c r="G20" s="38"/>
      <c r="H20" s="38"/>
      <c r="I20" s="38"/>
      <c r="J20" s="38"/>
      <c r="K20" s="38"/>
      <c r="L20" s="38"/>
      <c r="N20" s="39"/>
      <c r="O20" s="38"/>
      <c r="P20" s="38"/>
      <c r="Q20" s="38"/>
      <c r="R20" s="38"/>
      <c r="S20" s="38"/>
      <c r="T20" s="38"/>
      <c r="U20" s="38"/>
    </row>
    <row r="21" spans="5:21" x14ac:dyDescent="0.4">
      <c r="E21" s="39"/>
      <c r="F21" s="38"/>
      <c r="G21" s="38"/>
      <c r="H21" s="38"/>
      <c r="I21" s="38"/>
      <c r="J21" s="38"/>
      <c r="K21" s="38"/>
      <c r="L21" s="38"/>
      <c r="N21" s="39"/>
      <c r="O21" s="38"/>
      <c r="P21" s="38"/>
      <c r="Q21" s="38"/>
      <c r="R21" s="38"/>
      <c r="S21" s="38"/>
      <c r="T21" s="38"/>
      <c r="U21" s="38"/>
    </row>
    <row r="22" spans="5:21" x14ac:dyDescent="0.4">
      <c r="E22" s="39"/>
      <c r="F22" s="38"/>
      <c r="G22" s="38"/>
      <c r="H22" s="38"/>
      <c r="I22" s="38"/>
      <c r="J22" s="38"/>
      <c r="K22" s="38"/>
      <c r="L22" s="38"/>
      <c r="N22" s="39"/>
      <c r="O22" s="38"/>
      <c r="P22" s="38"/>
      <c r="Q22" s="38"/>
      <c r="R22" s="38"/>
      <c r="S22" s="38"/>
      <c r="T22" s="38"/>
      <c r="U22" s="38"/>
    </row>
    <row r="23" spans="5:21" x14ac:dyDescent="0.4">
      <c r="E23" s="39"/>
      <c r="F23" s="41"/>
      <c r="G23" s="41"/>
      <c r="H23" s="38"/>
      <c r="I23" s="38"/>
      <c r="J23" s="38"/>
      <c r="K23" s="38"/>
      <c r="L23" s="38"/>
      <c r="N23" s="39"/>
      <c r="O23" s="41"/>
      <c r="P23" s="41"/>
      <c r="Q23" s="38"/>
      <c r="R23" s="38"/>
      <c r="S23" s="38"/>
      <c r="T23" s="38"/>
      <c r="U23" s="38"/>
    </row>
    <row r="24" spans="5:21" x14ac:dyDescent="0.4">
      <c r="E24" s="39"/>
      <c r="F24" s="41"/>
      <c r="G24" s="38"/>
      <c r="H24" s="38"/>
      <c r="I24" s="38"/>
      <c r="J24" s="38"/>
      <c r="K24" s="38"/>
      <c r="L24" s="38"/>
      <c r="N24" s="39"/>
      <c r="O24" s="41"/>
      <c r="P24" s="38"/>
      <c r="Q24" s="38"/>
      <c r="R24" s="38"/>
      <c r="S24" s="38"/>
      <c r="T24" s="38"/>
      <c r="U24" s="38"/>
    </row>
    <row r="25" spans="5:21" x14ac:dyDescent="0.4">
      <c r="E25" s="39"/>
      <c r="F25" s="38"/>
      <c r="G25" s="38"/>
      <c r="H25" s="38"/>
      <c r="I25" s="38"/>
      <c r="J25" s="38"/>
      <c r="K25" s="38"/>
      <c r="L25" s="38"/>
      <c r="N25" s="39"/>
      <c r="O25" s="38"/>
      <c r="P25" s="38"/>
      <c r="Q25" s="38"/>
      <c r="R25" s="38"/>
      <c r="S25" s="38"/>
      <c r="T25" s="38"/>
      <c r="U25" s="38"/>
    </row>
    <row r="26" spans="5:21" x14ac:dyDescent="0.4">
      <c r="E26" s="39"/>
      <c r="F26" s="38"/>
      <c r="G26" s="38"/>
      <c r="H26" s="38"/>
      <c r="I26" s="38"/>
      <c r="J26" s="38"/>
      <c r="K26" s="38"/>
      <c r="L26" s="38"/>
      <c r="N26" s="39"/>
      <c r="O26" s="38"/>
      <c r="P26" s="38"/>
      <c r="Q26" s="38"/>
      <c r="R26" s="38"/>
      <c r="S26" s="38"/>
      <c r="T26" s="38"/>
      <c r="U26" s="38"/>
    </row>
    <row r="27" spans="5:21" x14ac:dyDescent="0.4">
      <c r="E27" s="39"/>
      <c r="F27" s="38"/>
      <c r="G27" s="38"/>
      <c r="H27" s="38"/>
      <c r="I27" s="38"/>
      <c r="J27" s="38"/>
      <c r="K27" s="38"/>
      <c r="L27" s="38"/>
      <c r="N27" s="39"/>
      <c r="O27" s="38"/>
      <c r="P27" s="38"/>
      <c r="Q27" s="38"/>
      <c r="R27" s="38"/>
      <c r="S27" s="38"/>
      <c r="T27" s="38"/>
      <c r="U27" s="38"/>
    </row>
    <row r="28" spans="5:21" x14ac:dyDescent="0.4">
      <c r="E28" s="39"/>
      <c r="F28" s="38"/>
      <c r="G28" s="38"/>
      <c r="H28" s="38"/>
      <c r="I28" s="38"/>
      <c r="J28" s="38"/>
      <c r="K28" s="38"/>
      <c r="L28" s="38"/>
      <c r="N28" s="39"/>
      <c r="O28" s="38"/>
      <c r="P28" s="38"/>
      <c r="Q28" s="38"/>
      <c r="R28" s="38"/>
      <c r="S28" s="38"/>
      <c r="T28" s="38"/>
      <c r="U28" s="38"/>
    </row>
    <row r="29" spans="5:21" x14ac:dyDescent="0.4">
      <c r="E29" s="39"/>
      <c r="F29" s="38"/>
      <c r="G29" s="38"/>
      <c r="H29" s="38"/>
      <c r="I29" s="38"/>
      <c r="J29" s="38"/>
      <c r="K29" s="38"/>
      <c r="L29" s="38"/>
      <c r="N29" s="39"/>
      <c r="O29" s="38"/>
      <c r="P29" s="38"/>
      <c r="Q29" s="38"/>
      <c r="R29" s="38"/>
      <c r="S29" s="38"/>
      <c r="T29" s="38"/>
      <c r="U29" s="38"/>
    </row>
  </sheetData>
  <dataConsolidate/>
  <conditionalFormatting sqref="G20 H16:L23 E25:L29 G24:L24 E21:F22 E23:E24 E16:F17 E18:E20">
    <cfRule type="expression" dxfId="9" priority="6">
      <formula>$E16&lt;&gt;$E17</formula>
    </cfRule>
  </conditionalFormatting>
  <conditionalFormatting sqref="G17">
    <cfRule type="expression" dxfId="8" priority="8">
      <formula>$E18&lt;&gt;$E19</formula>
    </cfRule>
  </conditionalFormatting>
  <conditionalFormatting sqref="G21:G22">
    <cfRule type="expression" dxfId="7" priority="10">
      <formula>$E22&lt;&gt;$E23</formula>
    </cfRule>
  </conditionalFormatting>
  <conditionalFormatting sqref="F20">
    <cfRule type="expression" dxfId="6" priority="12">
      <formula>$E23&lt;&gt;$E24</formula>
    </cfRule>
  </conditionalFormatting>
  <conditionalFormatting sqref="F19">
    <cfRule type="expression" dxfId="5" priority="14">
      <formula>$E18&lt;&gt;$E19</formula>
    </cfRule>
  </conditionalFormatting>
  <conditionalFormatting sqref="P20 Q16:U23 N25:U29 P24:U24 N21:O22 N23:N24 N16:O17 N18:N20">
    <cfRule type="expression" dxfId="4" priority="1">
      <formula>$E16&lt;&gt;$E17</formula>
    </cfRule>
  </conditionalFormatting>
  <conditionalFormatting sqref="P19">
    <cfRule type="expression" dxfId="3" priority="2">
      <formula>$E18&lt;&gt;$E19</formula>
    </cfRule>
  </conditionalFormatting>
  <conditionalFormatting sqref="P21:P22">
    <cfRule type="expression" dxfId="2" priority="3">
      <formula>$E22&lt;&gt;$E23</formula>
    </cfRule>
  </conditionalFormatting>
  <conditionalFormatting sqref="O20">
    <cfRule type="expression" dxfId="1" priority="4">
      <formula>$E23&lt;&gt;$E24</formula>
    </cfRule>
  </conditionalFormatting>
  <conditionalFormatting sqref="O19">
    <cfRule type="expression" dxfId="0" priority="5">
      <formula>$E18&lt;&gt;$E19</formula>
    </cfRule>
  </conditionalFormatting>
  <dataValidations count="1">
    <dataValidation allowBlank="1" showInputMessage="1" showErrorMessage="1" errorTitle="ERREUR" error="entrée une numero de compte valide" sqref="F25:F29 F19:F22 F16:F17 O25:O29 O19:O22 O16:O17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autoLine="0" r:id="rId5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025" r:id="rId4" name="ComboBox1"/>
      </mc:Fallback>
    </mc:AlternateContent>
  </controls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</sheetPr>
  <dimension ref="C11:J11"/>
  <sheetViews>
    <sheetView zoomScale="50" zoomScaleNormal="50" workbookViewId="0">
      <selection activeCell="C11" sqref="C11:J11"/>
    </sheetView>
  </sheetViews>
  <sheetFormatPr defaultRowHeight="18" x14ac:dyDescent="0.4"/>
  <cols>
    <col min="1" max="2" width="9.140625" style="35"/>
    <col min="3" max="3" width="15.140625" style="35" customWidth="1"/>
    <col min="4" max="4" width="18.85546875" style="35" customWidth="1"/>
    <col min="5" max="5" width="17.7109375" style="35" customWidth="1"/>
    <col min="6" max="6" width="28.28515625" style="35" customWidth="1"/>
    <col min="7" max="7" width="22.42578125" style="35" customWidth="1"/>
    <col min="8" max="8" width="14" style="35" customWidth="1"/>
    <col min="9" max="9" width="13.5703125" style="35" customWidth="1"/>
    <col min="10" max="10" width="33.7109375" style="35" customWidth="1"/>
    <col min="11" max="16384" width="9.140625" style="35"/>
  </cols>
  <sheetData>
    <row r="11" spans="3:10" x14ac:dyDescent="0.4">
      <c r="C11" s="36" t="s">
        <v>346</v>
      </c>
      <c r="D11" s="36" t="s">
        <v>516</v>
      </c>
      <c r="E11" s="36" t="s">
        <v>350</v>
      </c>
      <c r="F11" s="36" t="s">
        <v>347</v>
      </c>
      <c r="G11" s="36" t="s">
        <v>517</v>
      </c>
      <c r="H11" s="36" t="s">
        <v>342</v>
      </c>
      <c r="I11" s="36" t="s">
        <v>343</v>
      </c>
      <c r="J11" s="36" t="s">
        <v>348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-0.249977111117893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-0.499984740745262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B1:C60"/>
  <sheetViews>
    <sheetView topLeftCell="A28" workbookViewId="0">
      <selection activeCell="H32" sqref="H32"/>
    </sheetView>
  </sheetViews>
  <sheetFormatPr defaultRowHeight="18" x14ac:dyDescent="0.2"/>
  <cols>
    <col min="1" max="1" width="10.5703125" style="22" customWidth="1"/>
    <col min="2" max="2" width="78.7109375" style="22" customWidth="1"/>
    <col min="3" max="3" width="34.5703125" style="22" customWidth="1"/>
    <col min="4" max="16384" width="9.140625" style="22"/>
  </cols>
  <sheetData>
    <row r="1" spans="2:3" ht="34.5" customHeight="1" thickBot="1" x14ac:dyDescent="0.25"/>
    <row r="2" spans="2:3" ht="19.5" thickBot="1" x14ac:dyDescent="0.25">
      <c r="B2" s="24" t="s">
        <v>464</v>
      </c>
    </row>
    <row r="3" spans="2:3" x14ac:dyDescent="0.2">
      <c r="B3" s="23"/>
    </row>
    <row r="4" spans="2:3" x14ac:dyDescent="0.2">
      <c r="B4" s="26" t="s">
        <v>460</v>
      </c>
      <c r="C4" s="29" t="s">
        <v>474</v>
      </c>
    </row>
    <row r="5" spans="2:3" x14ac:dyDescent="0.2">
      <c r="B5" s="22" t="s">
        <v>463</v>
      </c>
    </row>
    <row r="6" spans="2:3" x14ac:dyDescent="0.2">
      <c r="B6" s="22" t="s">
        <v>462</v>
      </c>
    </row>
    <row r="7" spans="2:3" x14ac:dyDescent="0.2">
      <c r="B7" s="22" t="s">
        <v>466</v>
      </c>
    </row>
    <row r="8" spans="2:3" x14ac:dyDescent="0.2">
      <c r="B8" s="22" t="s">
        <v>461</v>
      </c>
    </row>
    <row r="9" spans="2:3" ht="36" x14ac:dyDescent="0.2">
      <c r="B9" s="16" t="s">
        <v>465</v>
      </c>
    </row>
    <row r="10" spans="2:3" x14ac:dyDescent="0.2">
      <c r="B10" s="22" t="s">
        <v>467</v>
      </c>
    </row>
    <row r="11" spans="2:3" x14ac:dyDescent="0.2">
      <c r="B11" s="22" t="s">
        <v>468</v>
      </c>
    </row>
    <row r="12" spans="2:3" x14ac:dyDescent="0.2">
      <c r="B12" s="22" t="s">
        <v>469</v>
      </c>
    </row>
    <row r="13" spans="2:3" x14ac:dyDescent="0.2">
      <c r="B13" s="22" t="s">
        <v>470</v>
      </c>
    </row>
    <row r="14" spans="2:3" x14ac:dyDescent="0.2">
      <c r="B14" s="22" t="s">
        <v>471</v>
      </c>
    </row>
    <row r="15" spans="2:3" x14ac:dyDescent="0.2">
      <c r="B15" s="22" t="s">
        <v>472</v>
      </c>
    </row>
    <row r="16" spans="2:3" ht="18.75" x14ac:dyDescent="0.2">
      <c r="B16" s="25" t="s">
        <v>473</v>
      </c>
      <c r="C16" s="30"/>
    </row>
    <row r="18" spans="2:3" x14ac:dyDescent="0.2">
      <c r="B18" s="27" t="s">
        <v>475</v>
      </c>
      <c r="C18" s="29" t="s">
        <v>474</v>
      </c>
    </row>
    <row r="19" spans="2:3" x14ac:dyDescent="0.2">
      <c r="B19" s="22" t="s">
        <v>476</v>
      </c>
    </row>
    <row r="20" spans="2:3" ht="36" x14ac:dyDescent="0.2">
      <c r="B20" s="16" t="s">
        <v>477</v>
      </c>
    </row>
    <row r="21" spans="2:3" x14ac:dyDescent="0.2">
      <c r="B21" s="22" t="s">
        <v>478</v>
      </c>
    </row>
    <row r="22" spans="2:3" x14ac:dyDescent="0.2">
      <c r="B22" s="22" t="s">
        <v>479</v>
      </c>
    </row>
    <row r="23" spans="2:3" x14ac:dyDescent="0.2">
      <c r="B23" s="22" t="s">
        <v>480</v>
      </c>
    </row>
    <row r="24" spans="2:3" x14ac:dyDescent="0.2">
      <c r="B24" s="22" t="s">
        <v>481</v>
      </c>
    </row>
    <row r="25" spans="2:3" x14ac:dyDescent="0.2">
      <c r="B25" s="22" t="s">
        <v>482</v>
      </c>
    </row>
    <row r="26" spans="2:3" x14ac:dyDescent="0.2">
      <c r="B26" s="22" t="s">
        <v>483</v>
      </c>
    </row>
    <row r="27" spans="2:3" x14ac:dyDescent="0.2">
      <c r="B27" s="22" t="s">
        <v>484</v>
      </c>
    </row>
    <row r="28" spans="2:3" x14ac:dyDescent="0.2">
      <c r="B28" s="22" t="s">
        <v>485</v>
      </c>
    </row>
    <row r="29" spans="2:3" x14ac:dyDescent="0.2">
      <c r="B29" s="22" t="s">
        <v>486</v>
      </c>
    </row>
    <row r="30" spans="2:3" x14ac:dyDescent="0.2">
      <c r="B30" s="22" t="s">
        <v>487</v>
      </c>
    </row>
    <row r="31" spans="2:3" x14ac:dyDescent="0.2">
      <c r="B31" s="22" t="s">
        <v>488</v>
      </c>
    </row>
    <row r="32" spans="2:3" x14ac:dyDescent="0.2">
      <c r="B32" s="22" t="s">
        <v>489</v>
      </c>
    </row>
    <row r="33" spans="2:2" x14ac:dyDescent="0.2">
      <c r="B33" s="22" t="s">
        <v>490</v>
      </c>
    </row>
    <row r="34" spans="2:2" x14ac:dyDescent="0.2">
      <c r="B34" s="22" t="s">
        <v>491</v>
      </c>
    </row>
    <row r="35" spans="2:2" x14ac:dyDescent="0.2">
      <c r="B35" s="22" t="s">
        <v>492</v>
      </c>
    </row>
    <row r="36" spans="2:2" x14ac:dyDescent="0.2">
      <c r="B36" s="22" t="s">
        <v>493</v>
      </c>
    </row>
    <row r="37" spans="2:2" x14ac:dyDescent="0.2">
      <c r="B37" s="22" t="s">
        <v>494</v>
      </c>
    </row>
    <row r="38" spans="2:2" x14ac:dyDescent="0.2">
      <c r="B38" s="22" t="s">
        <v>495</v>
      </c>
    </row>
    <row r="39" spans="2:2" x14ac:dyDescent="0.2">
      <c r="B39" s="22" t="s">
        <v>496</v>
      </c>
    </row>
    <row r="40" spans="2:2" x14ac:dyDescent="0.2">
      <c r="B40" s="22" t="s">
        <v>497</v>
      </c>
    </row>
    <row r="41" spans="2:2" x14ac:dyDescent="0.2">
      <c r="B41" s="22" t="s">
        <v>499</v>
      </c>
    </row>
    <row r="42" spans="2:2" x14ac:dyDescent="0.2">
      <c r="B42" s="22" t="s">
        <v>498</v>
      </c>
    </row>
    <row r="43" spans="2:2" x14ac:dyDescent="0.2">
      <c r="B43" s="22" t="s">
        <v>500</v>
      </c>
    </row>
    <row r="44" spans="2:2" x14ac:dyDescent="0.2">
      <c r="B44" s="22" t="s">
        <v>501</v>
      </c>
    </row>
    <row r="45" spans="2:2" x14ac:dyDescent="0.2">
      <c r="B45" s="22" t="s">
        <v>502</v>
      </c>
    </row>
    <row r="46" spans="2:2" x14ac:dyDescent="0.2">
      <c r="B46" s="22" t="s">
        <v>507</v>
      </c>
    </row>
    <row r="47" spans="2:2" x14ac:dyDescent="0.2">
      <c r="B47" s="22" t="s">
        <v>508</v>
      </c>
    </row>
    <row r="48" spans="2:2" x14ac:dyDescent="0.2">
      <c r="B48" s="22" t="s">
        <v>509</v>
      </c>
    </row>
    <row r="49" spans="2:3" x14ac:dyDescent="0.2">
      <c r="B49" s="22" t="s">
        <v>510</v>
      </c>
    </row>
    <row r="50" spans="2:3" x14ac:dyDescent="0.2">
      <c r="B50" s="22" t="s">
        <v>503</v>
      </c>
    </row>
    <row r="51" spans="2:3" x14ac:dyDescent="0.2">
      <c r="B51" s="22" t="s">
        <v>504</v>
      </c>
    </row>
    <row r="52" spans="2:3" x14ac:dyDescent="0.2">
      <c r="B52" s="22" t="s">
        <v>506</v>
      </c>
    </row>
    <row r="53" spans="2:3" x14ac:dyDescent="0.2">
      <c r="B53" s="22" t="s">
        <v>505</v>
      </c>
    </row>
    <row r="54" spans="2:3" x14ac:dyDescent="0.2">
      <c r="B54" s="27" t="s">
        <v>475</v>
      </c>
      <c r="C54" s="31"/>
    </row>
    <row r="57" spans="2:3" ht="18.75" x14ac:dyDescent="0.2">
      <c r="B57" s="32" t="s">
        <v>511</v>
      </c>
      <c r="C57" s="32"/>
    </row>
    <row r="58" spans="2:3" ht="18.75" x14ac:dyDescent="0.2">
      <c r="B58" s="32" t="s">
        <v>512</v>
      </c>
      <c r="C58" s="32"/>
    </row>
    <row r="59" spans="2:3" ht="18.75" x14ac:dyDescent="0.2">
      <c r="B59" s="33" t="s">
        <v>513</v>
      </c>
      <c r="C59" s="33"/>
    </row>
    <row r="60" spans="2:3" ht="18.75" x14ac:dyDescent="0.2">
      <c r="B60" s="34"/>
      <c r="C60" s="3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PCG simplifié</vt:lpstr>
      <vt:lpstr>PLAN DES COMPTES</vt:lpstr>
      <vt:lpstr>ECRITURES DES JOURNAUX</vt:lpstr>
      <vt:lpstr>JOURNAL</vt:lpstr>
      <vt:lpstr>GRAND LIVRE</vt:lpstr>
      <vt:lpstr>TRESORERIE</vt:lpstr>
      <vt:lpstr>RECAPITULATION</vt:lpstr>
      <vt:lpstr>COMPTES ROME</vt:lpstr>
      <vt:lpstr>reference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Ravinala TM</dc:creator>
  <cp:lastModifiedBy>Ravinala TM</cp:lastModifiedBy>
  <dcterms:created xsi:type="dcterms:W3CDTF">2021-07-12T14:33:11Z</dcterms:created>
  <dcterms:modified xsi:type="dcterms:W3CDTF">2023-04-14T05:32:03Z</dcterms:modified>
</cp:coreProperties>
</file>